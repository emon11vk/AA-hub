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
    </mc:Choice>
  </mc:AlternateContent>
  <bookViews>
    <workbookView xWindow="-105" yWindow="-105" windowWidth="19425" windowHeight="11505" tabRatio="972"/>
  </bookViews>
  <sheets>
    <sheet name="Thông tin doanh nghiệp" sheetId="5" r:id="rId1"/>
    <sheet name="Kịch bản" sheetId="1" r:id="rId2"/>
    <sheet name="Mẫu hóa đơn_Giấy báo có" sheetId="6" r:id="rId3"/>
    <sheet name="Mẫu các phân hệ kế toán" sheetId="8" r:id="rId4"/>
    <sheet name="Sổ Nhật ký chung" sheetId="2" r:id="rId5"/>
    <sheet name="Bang can doi so phat sinh" sheetId="3" r:id="rId6"/>
    <sheet name="Bao cao tai chinh" sheetId="4" r:id="rId7"/>
  </sheets>
  <definedNames>
    <definedName name="_xlnm._FilterDatabase" localSheetId="4" hidden="1">'Sổ Nhật ký chung'!$A$5:$E$112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3" i="4" l="1"/>
  <c r="C28" i="4"/>
  <c r="C25" i="4"/>
  <c r="C32" i="4"/>
  <c r="C31" i="4"/>
  <c r="D49" i="2"/>
  <c r="E50" i="2" s="1"/>
  <c r="E54" i="2"/>
  <c r="D53" i="2"/>
  <c r="E52" i="2"/>
  <c r="E44" i="2"/>
  <c r="E41" i="2"/>
  <c r="D40" i="2"/>
  <c r="E58" i="2" s="1"/>
  <c r="F41" i="2"/>
  <c r="E39" i="2"/>
  <c r="E38" i="2"/>
  <c r="D37" i="2"/>
  <c r="E36" i="2"/>
  <c r="D35" i="2"/>
  <c r="D34" i="2"/>
  <c r="E33" i="2"/>
  <c r="D32" i="2"/>
  <c r="E31" i="2"/>
  <c r="E30" i="2"/>
  <c r="D29" i="2"/>
  <c r="E28" i="2"/>
  <c r="D27" i="2"/>
  <c r="F28" i="2"/>
  <c r="D24" i="2"/>
  <c r="E23" i="2"/>
  <c r="D22" i="2"/>
  <c r="E20" i="2"/>
  <c r="E11" i="2"/>
  <c r="E9" i="2"/>
  <c r="E7" i="2"/>
  <c r="F7" i="3"/>
  <c r="E62" i="2"/>
  <c r="E61" i="2"/>
  <c r="E59" i="2"/>
  <c r="E60" i="2"/>
  <c r="D55" i="2"/>
  <c r="E56" i="2" s="1"/>
  <c r="B53" i="2"/>
  <c r="B51" i="2"/>
  <c r="B49" i="2"/>
  <c r="E48" i="2"/>
  <c r="B42" i="2"/>
  <c r="B37" i="2"/>
  <c r="B34" i="2"/>
  <c r="B29" i="2"/>
  <c r="B24" i="2"/>
  <c r="B21" i="2"/>
  <c r="B19" i="2"/>
  <c r="B16" i="2"/>
  <c r="B12" i="2"/>
  <c r="B9" i="2"/>
  <c r="B10" i="2"/>
  <c r="B8" i="2"/>
  <c r="B7" i="2"/>
  <c r="D57" i="2" l="1"/>
  <c r="D62" i="2" s="1"/>
  <c r="E63" i="2" s="1"/>
  <c r="C50" i="4"/>
  <c r="C51" i="4"/>
  <c r="C52" i="4" s="1"/>
  <c r="C55" i="4"/>
  <c r="C57" i="4"/>
  <c r="C58" i="4"/>
  <c r="C59" i="4" l="1"/>
  <c r="C60" i="4" s="1"/>
  <c r="C62" i="4" s="1"/>
  <c r="G9" i="3"/>
  <c r="G12" i="3"/>
  <c r="G13" i="3"/>
  <c r="G14" i="3"/>
  <c r="G15" i="3"/>
  <c r="G16" i="3"/>
  <c r="G17" i="3"/>
  <c r="G18" i="3"/>
  <c r="G19" i="3"/>
  <c r="G23" i="3"/>
  <c r="G7" i="3"/>
  <c r="H7" i="3" s="1"/>
  <c r="F8" i="3"/>
  <c r="F9" i="3"/>
  <c r="F10" i="3"/>
  <c r="D64" i="2" s="1"/>
  <c r="E65" i="2" s="1"/>
  <c r="F11" i="3"/>
  <c r="F12" i="3"/>
  <c r="F13" i="3"/>
  <c r="F14" i="3"/>
  <c r="F15" i="3"/>
  <c r="F17" i="3"/>
  <c r="F18" i="3"/>
  <c r="F19" i="3"/>
  <c r="F20" i="3"/>
  <c r="F21" i="3"/>
  <c r="F22" i="3"/>
  <c r="F24" i="3"/>
  <c r="F25" i="3"/>
  <c r="F26" i="3"/>
  <c r="F27" i="3"/>
  <c r="H9" i="3" l="1"/>
  <c r="B9" i="4" s="1"/>
  <c r="I13" i="3"/>
  <c r="B15" i="4" s="1"/>
  <c r="H12" i="3"/>
  <c r="B14" i="4" s="1"/>
  <c r="B7" i="4"/>
  <c r="I19" i="3"/>
  <c r="I15" i="3"/>
  <c r="D7" i="4" s="1"/>
  <c r="I18" i="3"/>
  <c r="I17" i="3"/>
  <c r="D9" i="4" s="1"/>
  <c r="H14" i="3"/>
  <c r="B12" i="4" s="1"/>
  <c r="G25" i="3"/>
  <c r="H25" i="3" s="1"/>
  <c r="G26" i="3"/>
  <c r="I26" i="3" s="1"/>
  <c r="G27" i="3"/>
  <c r="I27" i="3" s="1"/>
  <c r="G24" i="3"/>
  <c r="I24" i="3" s="1"/>
  <c r="G11" i="3"/>
  <c r="G20" i="3"/>
  <c r="I20" i="3" s="1"/>
  <c r="G21" i="3"/>
  <c r="I21" i="3" s="1"/>
  <c r="B6" i="2"/>
  <c r="D12" i="4" l="1"/>
  <c r="D14" i="4"/>
  <c r="D11" i="4"/>
  <c r="H11" i="3"/>
  <c r="B11" i="4" s="1"/>
  <c r="H27" i="3"/>
  <c r="B13" i="4"/>
  <c r="G8" i="3"/>
  <c r="H8" i="3" s="1"/>
  <c r="I25" i="3"/>
  <c r="H24" i="3"/>
  <c r="H26" i="3"/>
  <c r="F23" i="3"/>
  <c r="G10" i="3"/>
  <c r="F16" i="3"/>
  <c r="H10" i="3" l="1"/>
  <c r="B10" i="4" s="1"/>
  <c r="I16" i="3"/>
  <c r="H23" i="3"/>
  <c r="I23" i="3"/>
  <c r="D66" i="2"/>
  <c r="C27" i="4" l="1"/>
  <c r="C29" i="4" s="1"/>
  <c r="C34" i="4" s="1"/>
  <c r="C37" i="4" s="1"/>
  <c r="C39" i="4" s="1"/>
  <c r="D8" i="4"/>
  <c r="D6" i="4" s="1"/>
  <c r="B8" i="4"/>
  <c r="B6" i="4" s="1"/>
  <c r="B16" i="4" s="1"/>
  <c r="H29" i="3"/>
  <c r="E66" i="2"/>
  <c r="G22" i="3"/>
  <c r="F29" i="3"/>
  <c r="I22" i="3" l="1"/>
  <c r="G29" i="3"/>
  <c r="D15" i="4" l="1"/>
  <c r="D13" i="4" s="1"/>
  <c r="D16" i="4" s="1"/>
  <c r="I29" i="3"/>
</calcChain>
</file>

<file path=xl/sharedStrings.xml><?xml version="1.0" encoding="utf-8"?>
<sst xmlns="http://schemas.openxmlformats.org/spreadsheetml/2006/main" count="217" uniqueCount="172">
  <si>
    <t>Khấu trừ</t>
  </si>
  <si>
    <t>Phương pháp tính thuế GTGT:</t>
  </si>
  <si>
    <t>Phương pháp khấu hao:</t>
  </si>
  <si>
    <t>Đường thẳng</t>
  </si>
  <si>
    <t>Phương pháp tính giá hàng xuất kho:</t>
  </si>
  <si>
    <t>Tháng 1 năm 2020</t>
  </si>
  <si>
    <t>STT</t>
  </si>
  <si>
    <t>Tên doanh nghiệp:</t>
  </si>
  <si>
    <t>Mặt  hàng kinh doanh:</t>
  </si>
  <si>
    <t>Kỳ kế toán:</t>
  </si>
  <si>
    <t>Phương pháp kế toán sử dụng:</t>
  </si>
  <si>
    <t>THÔNG TIN DOANH NGHIỆP</t>
  </si>
  <si>
    <t>I</t>
  </si>
  <si>
    <t>CÁC NGHIỆP VỤ PHÁT SINH TRONG THÁNG</t>
  </si>
  <si>
    <t>II</t>
  </si>
  <si>
    <t>Hết</t>
  </si>
  <si>
    <t>CÔNG TY TNHH HOÀNG MAI</t>
  </si>
  <si>
    <t>NGHIỆP VỤ</t>
  </si>
  <si>
    <t>TK ĐỐI ỨNG</t>
  </si>
  <si>
    <t>NỢ</t>
  </si>
  <si>
    <t>CÓ</t>
  </si>
  <si>
    <t>ĐVT: triệu đồng</t>
  </si>
  <si>
    <t>SỔ NHẬT KÝ CHUNG</t>
  </si>
  <si>
    <t>BẢNG CÂN ĐỐI SỐ PHÁT SINH</t>
  </si>
  <si>
    <t>TÀI KHOẢN</t>
  </si>
  <si>
    <t>SỐ PHÁT SINH</t>
  </si>
  <si>
    <t>SỐ CUỐI KỲ</t>
  </si>
  <si>
    <t>SỐ ĐẦU KỲ</t>
  </si>
  <si>
    <t>TỔNG CỘNG</t>
  </si>
  <si>
    <t>TỔNG PHÁT SINH</t>
  </si>
  <si>
    <t>BẢNG CÂN ĐỐI KẾ TOÁN</t>
  </si>
  <si>
    <t>TÀI SẢN</t>
  </si>
  <si>
    <t>I. TSNH</t>
  </si>
  <si>
    <t>Tiền mặt</t>
  </si>
  <si>
    <t>SỐ HIỆU</t>
  </si>
  <si>
    <t>Tiền gửi ngân hàng</t>
  </si>
  <si>
    <t>Phải thu khách hàng</t>
  </si>
  <si>
    <t>Thuế GTGT được khấu trừ</t>
  </si>
  <si>
    <t>Hàng hóa</t>
  </si>
  <si>
    <t>Hao mòn TSCĐ</t>
  </si>
  <si>
    <t>Chi phí trả trước</t>
  </si>
  <si>
    <t>Phải trả người bán</t>
  </si>
  <si>
    <t>Thuế GTGT phải nộp</t>
  </si>
  <si>
    <t>Phải trả công nhân viên</t>
  </si>
  <si>
    <t>Các khoản phải trả khác</t>
  </si>
  <si>
    <t>Vay</t>
  </si>
  <si>
    <t>vốn đầu tư của chủ sở hữu</t>
  </si>
  <si>
    <t>Lợi nhuận chưa phân phối</t>
  </si>
  <si>
    <t>II. TSDH</t>
  </si>
  <si>
    <t>TỔNG TÀI SẢN</t>
  </si>
  <si>
    <t>NGUỒN VỐN</t>
  </si>
  <si>
    <t>III, NỢ PHẢI TRẢ</t>
  </si>
  <si>
    <t>IV. VỐN CHỦ SỞ HỮU</t>
  </si>
  <si>
    <t>TỔNG NGUỒN VỐN</t>
  </si>
  <si>
    <t>BÁO CÁO KẾT QUẢ HOẠT ĐỘNG KINH DOANH</t>
  </si>
  <si>
    <t>1. Doanh thu bán hàng và cung cấp dịch vụ</t>
  </si>
  <si>
    <t>2. Các khoản giảm trừ doanh thu</t>
  </si>
  <si>
    <t>3. Doanh thu thuần</t>
  </si>
  <si>
    <t>4. Giá vốn hàng bán</t>
  </si>
  <si>
    <t>5. Lợi nhuận gộp từ bán hàng và cung cấp dịch vụ</t>
  </si>
  <si>
    <t>6. Doanh thu hoạt động tài chính</t>
  </si>
  <si>
    <t>7. Chi phí tài chính</t>
  </si>
  <si>
    <t>8. Chi phí bán hàng</t>
  </si>
  <si>
    <t>9. Chi phí quản lý doanh nghiệp</t>
  </si>
  <si>
    <t>10. Lợi nhuận thuần từ hoạt động kinh doanh</t>
  </si>
  <si>
    <t>11. Thu nhập khác</t>
  </si>
  <si>
    <t>12. Chi phí khác</t>
  </si>
  <si>
    <t>13. Lợi nhuận trước thuế</t>
  </si>
  <si>
    <t>14. Chi phí thuế TNDN</t>
  </si>
  <si>
    <t>15. Lợi nhuận sau thuế</t>
  </si>
  <si>
    <t>I. Lưu chuyển tiền từ hoạt động kinh doanh</t>
  </si>
  <si>
    <t>BÁO CÁO LƯU CHUYỂN TIỀN TỆ 
(Theo phương pháp trực tiếp)</t>
  </si>
  <si>
    <t>1. Tiền chi mua TSCĐ</t>
  </si>
  <si>
    <t>Lưu chuyển tiền thuần từ hoạt động kinh doanh</t>
  </si>
  <si>
    <t>II. Lưu chuyển tiền từ hoạt động đầu tư</t>
  </si>
  <si>
    <t>1. Chi mua hàng</t>
  </si>
  <si>
    <t>2. Chi tiền thuê văn phòng</t>
  </si>
  <si>
    <t>3. Tiền thu từ bán hàng</t>
  </si>
  <si>
    <t>Lưu chuyển tiền thuần từ hoạt động đầu tư</t>
  </si>
  <si>
    <t>1. Tiền thu từ chủ sở hữu góp vốn</t>
  </si>
  <si>
    <t xml:space="preserve">2. Tiền vay </t>
  </si>
  <si>
    <t>III. Lưu chuyển tiền từ hoạt động tài chính</t>
  </si>
  <si>
    <t>Lưu chuyển tiền thuần từ hoạt động tài chính</t>
  </si>
  <si>
    <t>IV. Lưu chuyển tiền thuần trong kỳ</t>
  </si>
  <si>
    <t>V. Tiền đầu kỳ</t>
  </si>
  <si>
    <t>VI. Tiền cuối kỳ</t>
  </si>
  <si>
    <t>Kết chuyển doanh thu bán hàng</t>
  </si>
  <si>
    <t>Kết chuyển chi phí trong kỳ</t>
  </si>
  <si>
    <t>Kết chuyển lãi</t>
  </si>
  <si>
    <t>Kết chuyển thuế GTGT</t>
  </si>
  <si>
    <t>TSCĐ hữu hình</t>
  </si>
  <si>
    <t>Công ty cổ phần FAAbulous</t>
  </si>
  <si>
    <t>Thiết bị điện tử</t>
  </si>
  <si>
    <t>Bình quân gia quyền</t>
  </si>
  <si>
    <t>Ghi chú</t>
  </si>
  <si>
    <t>Sinh viên</t>
  </si>
  <si>
    <t>Doanh nghiệp thực hành</t>
  </si>
  <si>
    <t>Vai trò</t>
  </si>
  <si>
    <t>Tên công ty</t>
  </si>
  <si>
    <t>Mã số thuế</t>
  </si>
  <si>
    <t>Địa chỉ</t>
  </si>
  <si>
    <t>Máy tính HP</t>
  </si>
  <si>
    <t>Máy tính Dell</t>
  </si>
  <si>
    <t>Công ty cổ phần Thế giới số</t>
  </si>
  <si>
    <t>Công ty cổ phần Thiết bị di động</t>
  </si>
  <si>
    <t>Máy tính Macbook</t>
  </si>
  <si>
    <t>Công ty TNHH Hàng điện tử</t>
  </si>
  <si>
    <t>0123456789</t>
  </si>
  <si>
    <t>Khách hàng</t>
  </si>
  <si>
    <t>Xem sheet Thông tin doanh nghiệp</t>
  </si>
  <si>
    <t>Nhà cung cấp (người bán)</t>
  </si>
  <si>
    <t>Thiết bị văn phòng</t>
  </si>
  <si>
    <t>Công ty cổ phần Hòa Bình</t>
  </si>
  <si>
    <t>Phường Láng, Hà Nội</t>
  </si>
  <si>
    <t>Phường Kim Liên, Hà Nôi</t>
  </si>
  <si>
    <t>Phường Đống Đa, Hà Nội</t>
  </si>
  <si>
    <t>Phường Hà Đông, Hà Nội</t>
  </si>
  <si>
    <t>Xã Sóc Sơn, Hà Nội</t>
  </si>
  <si>
    <t>Tháng 1 năm 20X6</t>
  </si>
  <si>
    <t>Ngày 10/01/20X6, các chủ sở hữu góp vốn kinh doanh 10 tỷ bằng chuyển khoản.</t>
  </si>
  <si>
    <t>Ngày 15/01/20X6, vay ngân hàng 2 tỷ, thời hạn 1 năm, lãi suất 12%/năm, thanh toán lãi hàng tháng bằng chuyển khoản, trả gốc khi đáo hạn.</t>
  </si>
  <si>
    <t>Ngày 15/01/20X6 rút tiền gửi ngân hàng về nhập quỹ tiền mặt 300 triệu</t>
  </si>
  <si>
    <t>Task 1: Thực hành lập chứng từ</t>
  </si>
  <si>
    <t>Ngày 16/01/20X6, mua 10 chiếc máy tính, đã nhập kho, đã thanh toán chuyển khoản.</t>
  </si>
  <si>
    <t>Ngày 16/01/20X6, thanh toán tiền thuê nhà quý 1 (tháng 1,2,3) 30 triệu bằng chuyển khoản.</t>
  </si>
  <si>
    <t>Ngày 20/01/20X6, mua 20 chiếc máy tính, đã nhập kho, chưa thanh toán.</t>
  </si>
  <si>
    <t>Cùng loại với máy tính ở nghiệp vụ 5 và 7</t>
  </si>
  <si>
    <t>Thực hành lập hóa đơn, chọn 1 trong 3 mặt hàng:
1. Máy tính HP, giá mua 10 triệu/chiếc
2. Máy tính Dell, giá mua 12 triệu/chiếc
3. Máy tính Macbook, giá mua 20 triệu/chiếc
Giá máy tính chưa bao gồm VAT 10%</t>
  </si>
  <si>
    <t>Thực hành lập hóa đơn và giấy báo Có, chọn 1 trong 3 mặt hàng:
1. Máy tính HP, giá bán 20 triệu/chiếc
2. Máy tính Dell, giá bán 24 triệu/chiếc
3. Máy tính Macbook, giá bán 40 triệu/chiếc
Giá máy tính chưa bao gồm VAT 10%</t>
  </si>
  <si>
    <t>Ngày 22/01/20X6, mua 10 chiếc máy tính, đã nhập kho, đã thanh toán chuyển khoản.</t>
  </si>
  <si>
    <t>Cùng loại với máy tính ở nghiệp vụ 5,  chọn 1 trong 3 mặt hàng:
1. Máy tính HP, giá mua 12 triệu/chiếc
2. Máy tính Dell, giá mua 14 triệu/chiếc
3. Máy tính Macbook, giá mua 22 triệu/chiếc
Giá máy tính chưa bao gồm VAT 10%</t>
  </si>
  <si>
    <t>Cùng loại với máy tính ở nghiệp vụ 8. 
1. Máy tính HP, giá bán 24 triệu/chiếc
2. Máy tính Dell, giá bán 28 triệu/chiếc
3. Máy tính Macbook, giá bán 44 triệu/chiếc
Giá máy tính chưa bao gồm VAT 10%</t>
  </si>
  <si>
    <t>Ngày 31/01/20X6, tiền lương trong tháng của bộ phận bán hàng là 50 triệu, bộ phận quản lý là 20 triệu chưa thanh toán. Các khoản bảo hiểm phải đóng cho nhân viên bán hàng là 10 triệu, nhân viên quản lý doanh nghiệp là 4 triệu, phần trích từ lương nhân viên là 7 triệu chưa nộp.</t>
  </si>
  <si>
    <t>Ngày 31/01/20X6, phân bổ chi phí thuê văn phòng trong tháng là 10 triệu.</t>
  </si>
  <si>
    <t>Ngày 31/01/20X6, ghi nhận chi phí lãi vay chưa thanh toán trong kỳ là 10 triệu.</t>
  </si>
  <si>
    <t>Ngày 18/01/20X6, bán 15 chiếc máy tính cho công ty Phúc Sơn, đã giao hàng cho khách, khách hàng đã thanh toán chuyển khoản.</t>
  </si>
  <si>
    <t>Ngày 20/01/20X6, bán 12 chiếc máy tính cho công ty An Bình, đã giao hàng cho khách, khách hàng chưa thanh toán</t>
  </si>
  <si>
    <t>Công ty TNHH Phúc Sơn</t>
  </si>
  <si>
    <t>Công ty cổ phần An Bình</t>
  </si>
  <si>
    <t>Ngày 25/01/20X6, bán 5 chiếc máy tính cho công ty Xuân Phương, đã giao hàng cho khách, khách hàng đã thanh toán chuyển khoản.</t>
  </si>
  <si>
    <t>Công ty TNHH Xuân Phương</t>
  </si>
  <si>
    <t>0000000001</t>
  </si>
  <si>
    <t>0000000002</t>
  </si>
  <si>
    <t>0000000003</t>
  </si>
  <si>
    <t>0000000004</t>
  </si>
  <si>
    <t>0000000005</t>
  </si>
  <si>
    <t>0000000006</t>
  </si>
  <si>
    <t>0000000007</t>
  </si>
  <si>
    <t>Phường Phú Diễn, Hà Nội</t>
  </si>
  <si>
    <t>Phường Ô Chợ Dừa, Hà Nội</t>
  </si>
  <si>
    <t>Xã Xuân Trường, Nam Định</t>
  </si>
  <si>
    <t>Task 2: Thực hành nhập liệu và định khoản</t>
  </si>
  <si>
    <t>Nhập liệu trên phân hệ Tiền gửi ngân hàng</t>
  </si>
  <si>
    <t>Nhập liệu trên phân hệ Bán hàng</t>
  </si>
  <si>
    <t>Nhập liệu trên phân hệ Mua hàng</t>
  </si>
  <si>
    <t>Nhập liệu trên phân hệ Phiếu Kế toán</t>
  </si>
  <si>
    <t>CÔNG TY TNHH FAAbulous</t>
  </si>
  <si>
    <t>ĐVT: đồng</t>
  </si>
  <si>
    <t>Máy HP</t>
  </si>
  <si>
    <t xml:space="preserve">Giá bình quân </t>
  </si>
  <si>
    <t>Ngày 16/01/20X6, mua thiết bị văn phòng trị giá 100 triệu, chưa bao gồm thuế GTGT 10% được khấu trừ, chi phí lắp đặt các thiết bị trên là 2 triệu, đã thanh toán bằng chuyển khoản. Tài sản dự kiến sử dụng 10 năm</t>
  </si>
  <si>
    <t xml:space="preserve">Ngày 31/01/20X6, trích khấu hao của tài sản cố định dùng ở bộ phận quản lý </t>
  </si>
  <si>
    <t>CÔNG TY CỔ PHẦN FAABULOUS</t>
  </si>
  <si>
    <t>Tại ngày 31 tháng 01 năm 20X6</t>
  </si>
  <si>
    <t>ĐVT: Đồng</t>
  </si>
  <si>
    <t>Doanh thu bán hàng và cung cấp dịch vụ</t>
  </si>
  <si>
    <t>Giá vốn hàng bán</t>
  </si>
  <si>
    <t>Chi phí tài chính</t>
  </si>
  <si>
    <t>Chi phí bán hàng</t>
  </si>
  <si>
    <t>Chi phí quản lý doanh nghiệp</t>
  </si>
  <si>
    <t>Xác định kết quả kinh doanh</t>
  </si>
  <si>
    <t>Chi phí chờ phân bổ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</si>
</sst>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0_);_(* \(#,##0.0\);_(* &quot;-&quot;??_);_(@_)"/>
    <numFmt numFmtId="165" formatCode="_(* #,##0.0_);_(* \(#,##0.0\);_(* &quot;-&quot;?_);_(@_)"/>
  </numFmts>
  <fonts count="12" x14ac:knownFonts="1">
    <font>
      <sz val="11"/>
      <color theme="1"/>
      <name val="Calibri"/>
      <family val="2"/>
      <scheme val="minor"/>
    </font>
    <font>
      <sz val="11"/>
      <color theme="1"/>
      <name val="Calibri"/>
      <family val="2"/>
      <scheme val="minor"/>
    </font>
    <font>
      <sz val="12"/>
      <color theme="1"/>
      <name val="Times New Roman"/>
      <family val="1"/>
    </font>
    <font>
      <i/>
      <sz val="12"/>
      <color theme="1"/>
      <name val="Times New Roman"/>
      <family val="1"/>
    </font>
    <font>
      <b/>
      <sz val="12"/>
      <color rgb="FFFF0000"/>
      <name val="Times New Roman"/>
      <family val="1"/>
    </font>
    <font>
      <sz val="12"/>
      <color rgb="FFFF0000"/>
      <name val="Times New Roman"/>
      <family val="1"/>
    </font>
    <font>
      <i/>
      <sz val="12"/>
      <color rgb="FFFF0000"/>
      <name val="Times New Roman"/>
      <family val="1"/>
    </font>
    <font>
      <b/>
      <sz val="12"/>
      <color theme="1"/>
      <name val="Times New Roman"/>
      <family val="1"/>
    </font>
    <font>
      <sz val="12"/>
      <name val="Times New Roman"/>
      <family val="1"/>
    </font>
    <font>
      <b/>
      <sz val="12"/>
      <name val="Times New Roman"/>
      <family val="1"/>
    </font>
    <font>
      <i/>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76">
    <xf numFmtId="0" fontId="0" fillId="0" borderId="0" xfId="0"/>
    <xf numFmtId="0" fontId="2" fillId="0" borderId="0" xfId="0" applyFont="1"/>
    <xf numFmtId="0" fontId="3" fillId="0" borderId="0" xfId="0" applyFont="1"/>
    <xf numFmtId="0" fontId="5" fillId="0" borderId="0" xfId="0" applyFont="1" applyAlignment="1">
      <alignment horizontal="center"/>
    </xf>
    <xf numFmtId="0" fontId="4" fillId="0" borderId="0" xfId="0" applyFont="1" applyAlignment="1">
      <alignment horizontal="center"/>
    </xf>
    <xf numFmtId="164" fontId="2" fillId="0" borderId="0" xfId="1" applyNumberFormat="1" applyFont="1"/>
    <xf numFmtId="0" fontId="5" fillId="0" borderId="1" xfId="0" applyFont="1" applyBorder="1" applyAlignment="1">
      <alignment horizontal="center"/>
    </xf>
    <xf numFmtId="0" fontId="2" fillId="0" borderId="2" xfId="0" applyFont="1" applyBorder="1" applyAlignment="1">
      <alignment wrapText="1"/>
    </xf>
    <xf numFmtId="0" fontId="2" fillId="0" borderId="2" xfId="0" applyFont="1" applyBorder="1"/>
    <xf numFmtId="0" fontId="5" fillId="0" borderId="4" xfId="0" applyFont="1" applyBorder="1" applyAlignment="1">
      <alignment horizontal="center"/>
    </xf>
    <xf numFmtId="0" fontId="2" fillId="0" borderId="5" xfId="0" applyFont="1" applyBorder="1" applyAlignment="1">
      <alignment wrapText="1"/>
    </xf>
    <xf numFmtId="0" fontId="2" fillId="0" borderId="5" xfId="0" applyFont="1" applyBorder="1"/>
    <xf numFmtId="0" fontId="5" fillId="0" borderId="7" xfId="0" applyFont="1" applyBorder="1" applyAlignment="1">
      <alignment horizontal="center"/>
    </xf>
    <xf numFmtId="0" fontId="2" fillId="0" borderId="0" xfId="0" applyFont="1" applyAlignment="1">
      <alignment wrapText="1"/>
    </xf>
    <xf numFmtId="164" fontId="2" fillId="0" borderId="2" xfId="1" applyNumberFormat="1" applyFont="1" applyBorder="1"/>
    <xf numFmtId="164" fontId="2" fillId="0" borderId="3" xfId="1" applyNumberFormat="1" applyFont="1" applyBorder="1"/>
    <xf numFmtId="164" fontId="2" fillId="0" borderId="5" xfId="1" applyNumberFormat="1" applyFont="1" applyBorder="1"/>
    <xf numFmtId="164" fontId="2" fillId="0" borderId="6" xfId="1" applyNumberFormat="1" applyFont="1" applyBorder="1"/>
    <xf numFmtId="164" fontId="2" fillId="0" borderId="0" xfId="1" applyNumberFormat="1" applyFont="1" applyBorder="1"/>
    <xf numFmtId="164" fontId="2" fillId="0" borderId="8" xfId="1" applyNumberFormat="1" applyFont="1" applyBorder="1"/>
    <xf numFmtId="0" fontId="5" fillId="0" borderId="9" xfId="0" applyFont="1" applyBorder="1" applyAlignment="1">
      <alignment horizontal="center"/>
    </xf>
    <xf numFmtId="0" fontId="2" fillId="0" borderId="9" xfId="0" applyFont="1" applyBorder="1" applyAlignment="1">
      <alignment wrapText="1"/>
    </xf>
    <xf numFmtId="0" fontId="2" fillId="0" borderId="9" xfId="0" applyFont="1" applyBorder="1"/>
    <xf numFmtId="164" fontId="2" fillId="0" borderId="9" xfId="1" applyNumberFormat="1" applyFont="1" applyBorder="1"/>
    <xf numFmtId="165" fontId="2" fillId="0" borderId="9" xfId="0" applyNumberFormat="1" applyFont="1" applyBorder="1"/>
    <xf numFmtId="43" fontId="2" fillId="0" borderId="9" xfId="1" applyFont="1" applyBorder="1"/>
    <xf numFmtId="0" fontId="4" fillId="0" borderId="9" xfId="0" applyFont="1" applyBorder="1" applyAlignment="1">
      <alignment horizontal="center"/>
    </xf>
    <xf numFmtId="0" fontId="4" fillId="0" borderId="9" xfId="0" applyFont="1" applyBorder="1" applyAlignment="1">
      <alignment wrapText="1"/>
    </xf>
    <xf numFmtId="43" fontId="7" fillId="0" borderId="9" xfId="1" applyFont="1" applyBorder="1"/>
    <xf numFmtId="164" fontId="7" fillId="0" borderId="9" xfId="1" applyNumberFormat="1" applyFont="1" applyBorder="1"/>
    <xf numFmtId="0" fontId="7" fillId="0" borderId="0" xfId="0" applyFont="1"/>
    <xf numFmtId="164" fontId="4" fillId="0" borderId="9" xfId="1" applyNumberFormat="1" applyFont="1" applyBorder="1" applyAlignment="1">
      <alignment horizontal="center"/>
    </xf>
    <xf numFmtId="0" fontId="7" fillId="0" borderId="9" xfId="0" applyFont="1" applyBorder="1" applyAlignment="1">
      <alignment wrapText="1"/>
    </xf>
    <xf numFmtId="0" fontId="7" fillId="0" borderId="9" xfId="0" applyFont="1" applyBorder="1"/>
    <xf numFmtId="0" fontId="4" fillId="0" borderId="9" xfId="0" applyFont="1" applyBorder="1"/>
    <xf numFmtId="0" fontId="8" fillId="0" borderId="9" xfId="0" applyFont="1" applyBorder="1" applyAlignment="1">
      <alignment horizontal="left"/>
    </xf>
    <xf numFmtId="0" fontId="8" fillId="0" borderId="0" xfId="0" applyFont="1" applyAlignment="1">
      <alignment horizontal="left"/>
    </xf>
    <xf numFmtId="43" fontId="8" fillId="0" borderId="9" xfId="0" applyNumberFormat="1" applyFont="1" applyBorder="1" applyAlignment="1">
      <alignment horizontal="left"/>
    </xf>
    <xf numFmtId="43" fontId="7" fillId="0" borderId="9" xfId="0" applyNumberFormat="1" applyFont="1" applyBorder="1"/>
    <xf numFmtId="43" fontId="2" fillId="0" borderId="9" xfId="0" applyNumberFormat="1" applyFont="1" applyBorder="1"/>
    <xf numFmtId="43" fontId="4" fillId="0" borderId="9" xfId="0" applyNumberFormat="1" applyFont="1" applyBorder="1"/>
    <xf numFmtId="0" fontId="6" fillId="0" borderId="0" xfId="0" applyFont="1" applyAlignment="1">
      <alignment horizontal="right"/>
    </xf>
    <xf numFmtId="0" fontId="8" fillId="0" borderId="0" xfId="0" applyFont="1"/>
    <xf numFmtId="43" fontId="8" fillId="0" borderId="9" xfId="0" applyNumberFormat="1" applyFont="1" applyBorder="1"/>
    <xf numFmtId="43" fontId="3" fillId="0" borderId="9" xfId="0" applyNumberFormat="1" applyFont="1" applyBorder="1"/>
    <xf numFmtId="0" fontId="5" fillId="2" borderId="9" xfId="0" applyFont="1" applyFill="1" applyBorder="1" applyAlignment="1">
      <alignment horizontal="center"/>
    </xf>
    <xf numFmtId="0" fontId="8" fillId="2" borderId="9" xfId="0" applyFont="1" applyFill="1" applyBorder="1" applyAlignment="1">
      <alignment horizontal="left"/>
    </xf>
    <xf numFmtId="0" fontId="9" fillId="2" borderId="9" xfId="0" applyFont="1" applyFill="1" applyBorder="1" applyAlignment="1">
      <alignment horizontal="left"/>
    </xf>
    <xf numFmtId="43" fontId="2" fillId="2" borderId="9" xfId="1" applyFont="1" applyFill="1" applyBorder="1"/>
    <xf numFmtId="164" fontId="2" fillId="2" borderId="9" xfId="1" applyNumberFormat="1" applyFont="1" applyFill="1" applyBorder="1"/>
    <xf numFmtId="0" fontId="2" fillId="2" borderId="9" xfId="0" applyFont="1" applyFill="1" applyBorder="1"/>
    <xf numFmtId="165" fontId="2" fillId="2" borderId="9" xfId="0" applyNumberFormat="1" applyFont="1" applyFill="1" applyBorder="1"/>
    <xf numFmtId="0" fontId="0" fillId="0" borderId="0" xfId="0" quotePrefix="1"/>
    <xf numFmtId="0" fontId="10" fillId="0" borderId="0" xfId="0" applyFont="1"/>
    <xf numFmtId="0" fontId="0" fillId="0" borderId="0" xfId="0" applyFont="1"/>
    <xf numFmtId="0" fontId="7"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3" borderId="0" xfId="0" applyFont="1" applyFill="1"/>
    <xf numFmtId="43" fontId="2" fillId="0" borderId="0" xfId="0" applyNumberFormat="1" applyFont="1"/>
    <xf numFmtId="0" fontId="7" fillId="2" borderId="0" xfId="0" applyFont="1" applyFill="1" applyAlignment="1">
      <alignment horizontal="center" wrapText="1"/>
    </xf>
    <xf numFmtId="0" fontId="2" fillId="0" borderId="0" xfId="0" applyFont="1" applyAlignment="1">
      <alignment wrapText="1"/>
    </xf>
    <xf numFmtId="0" fontId="5" fillId="0" borderId="0" xfId="0" applyFont="1" applyAlignment="1">
      <alignment horizontal="center" wrapText="1"/>
    </xf>
    <xf numFmtId="0" fontId="4" fillId="0" borderId="0" xfId="0" applyFont="1" applyAlignment="1">
      <alignment horizontal="center"/>
    </xf>
    <xf numFmtId="0" fontId="5" fillId="0" borderId="0" xfId="0" applyFont="1" applyAlignment="1">
      <alignment horizontal="center"/>
    </xf>
    <xf numFmtId="0" fontId="6" fillId="0" borderId="5" xfId="0" applyFont="1" applyBorder="1" applyAlignment="1">
      <alignment horizontal="right"/>
    </xf>
    <xf numFmtId="0" fontId="4" fillId="0" borderId="10" xfId="0" applyFont="1" applyBorder="1" applyAlignment="1">
      <alignment horizontal="center"/>
    </xf>
    <xf numFmtId="0" fontId="4" fillId="0" borderId="11" xfId="0" applyFont="1" applyBorder="1" applyAlignment="1">
      <alignment horizontal="center"/>
    </xf>
    <xf numFmtId="0" fontId="6" fillId="0" borderId="0" xfId="0" applyFont="1" applyAlignment="1">
      <alignment horizontal="right"/>
    </xf>
    <xf numFmtId="0" fontId="4" fillId="0" borderId="9" xfId="0" applyFont="1" applyBorder="1" applyAlignment="1">
      <alignment horizontal="center"/>
    </xf>
    <xf numFmtId="0" fontId="5" fillId="0" borderId="9" xfId="0" applyFont="1" applyBorder="1"/>
    <xf numFmtId="0" fontId="4" fillId="0" borderId="9" xfId="0" applyFont="1" applyBorder="1"/>
    <xf numFmtId="0" fontId="4" fillId="0" borderId="0" xfId="0" applyFont="1" applyAlignment="1">
      <alignment horizontal="center" wrapText="1"/>
    </xf>
    <xf numFmtId="0" fontId="8" fillId="0" borderId="9" xfId="0" applyFont="1" applyBorder="1"/>
    <xf numFmtId="0" fontId="6" fillId="0" borderId="9" xfId="0" applyFont="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289424</xdr:colOff>
      <xdr:row>42</xdr:row>
      <xdr:rowOff>110313</xdr:rowOff>
    </xdr:to>
    <xdr:pic>
      <xdr:nvPicPr>
        <xdr:cNvPr id="3" name="Picture 2">
          <a:extLst>
            <a:ext uri="{FF2B5EF4-FFF2-40B4-BE49-F238E27FC236}">
              <a16:creationId xmlns:a16="http://schemas.microsoft.com/office/drawing/2014/main" id="{34996F3B-D549-0420-ECC8-92BB42DC7106}"/>
            </a:ext>
          </a:extLst>
        </xdr:cNvPr>
        <xdr:cNvPicPr>
          <a:picLocks noChangeAspect="1"/>
        </xdr:cNvPicPr>
      </xdr:nvPicPr>
      <xdr:blipFill>
        <a:blip xmlns:r="http://schemas.openxmlformats.org/officeDocument/2006/relationships" r:embed="rId1"/>
        <a:stretch>
          <a:fillRect/>
        </a:stretch>
      </xdr:blipFill>
      <xdr:spPr>
        <a:xfrm>
          <a:off x="0" y="0"/>
          <a:ext cx="5782482" cy="7878274"/>
        </a:xfrm>
        <a:prstGeom prst="rect">
          <a:avLst/>
        </a:prstGeom>
      </xdr:spPr>
    </xdr:pic>
    <xdr:clientData/>
  </xdr:twoCellAnchor>
  <xdr:twoCellAnchor editAs="oneCell">
    <xdr:from>
      <xdr:col>9</xdr:col>
      <xdr:colOff>457201</xdr:colOff>
      <xdr:row>0</xdr:row>
      <xdr:rowOff>1</xdr:rowOff>
    </xdr:from>
    <xdr:to>
      <xdr:col>20</xdr:col>
      <xdr:colOff>205597</xdr:colOff>
      <xdr:row>24</xdr:row>
      <xdr:rowOff>55218</xdr:rowOff>
    </xdr:to>
    <xdr:pic>
      <xdr:nvPicPr>
        <xdr:cNvPr id="4" name="Picture 3">
          <a:extLst>
            <a:ext uri="{FF2B5EF4-FFF2-40B4-BE49-F238E27FC236}">
              <a16:creationId xmlns:a16="http://schemas.microsoft.com/office/drawing/2014/main" id="{B6129D79-FCB1-4BE9-AE78-D5066B80F1FD}"/>
            </a:ext>
          </a:extLst>
        </xdr:cNvPr>
        <xdr:cNvPicPr>
          <a:picLocks noChangeAspect="1"/>
        </xdr:cNvPicPr>
      </xdr:nvPicPr>
      <xdr:blipFill>
        <a:blip xmlns:r="http://schemas.openxmlformats.org/officeDocument/2006/relationships" r:embed="rId2"/>
        <a:stretch>
          <a:fillRect/>
        </a:stretch>
      </xdr:blipFill>
      <xdr:spPr>
        <a:xfrm>
          <a:off x="5923723" y="1"/>
          <a:ext cx="6429700" cy="44726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13</xdr:col>
      <xdr:colOff>266700</xdr:colOff>
      <xdr:row>33</xdr:row>
      <xdr:rowOff>123825</xdr:rowOff>
    </xdr:to>
    <xdr:pic>
      <xdr:nvPicPr>
        <xdr:cNvPr id="2" name="Picture 1" descr="Phần mềm kế toán MISA SME – 27 năm số 1 Việt Nam">
          <a:extLst>
            <a:ext uri="{FF2B5EF4-FFF2-40B4-BE49-F238E27FC236}">
              <a16:creationId xmlns:a16="http://schemas.microsoft.com/office/drawing/2014/main" id="{410DC684-3B07-054E-CFE6-7FAC497AE9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625"/>
          <a:ext cx="8191500" cy="636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tabSelected="1" workbookViewId="0">
      <selection activeCell="C23" sqref="C23"/>
    </sheetView>
  </sheetViews>
  <sheetFormatPr defaultRowHeight="15" x14ac:dyDescent="0.25"/>
  <cols>
    <col min="1" max="1" width="23.7109375" customWidth="1"/>
    <col min="2" max="2" width="28.7109375" customWidth="1"/>
    <col min="3" max="3" width="17.42578125" customWidth="1"/>
    <col min="4" max="4" width="28.5703125" customWidth="1"/>
  </cols>
  <sheetData>
    <row r="1" spans="1:4" x14ac:dyDescent="0.25">
      <c r="A1" t="s">
        <v>97</v>
      </c>
      <c r="B1" t="s">
        <v>98</v>
      </c>
      <c r="C1" t="s">
        <v>99</v>
      </c>
      <c r="D1" t="s">
        <v>100</v>
      </c>
    </row>
    <row r="2" spans="1:4" ht="15.75" x14ac:dyDescent="0.25">
      <c r="A2" t="s">
        <v>96</v>
      </c>
      <c r="B2" s="1" t="s">
        <v>91</v>
      </c>
      <c r="C2" s="52" t="s">
        <v>107</v>
      </c>
      <c r="D2" t="s">
        <v>113</v>
      </c>
    </row>
    <row r="3" spans="1:4" x14ac:dyDescent="0.25">
      <c r="A3" t="s">
        <v>110</v>
      </c>
    </row>
    <row r="4" spans="1:4" x14ac:dyDescent="0.25">
      <c r="A4" s="53" t="s">
        <v>111</v>
      </c>
      <c r="B4" t="s">
        <v>112</v>
      </c>
      <c r="C4" s="52" t="s">
        <v>141</v>
      </c>
      <c r="D4" t="s">
        <v>114</v>
      </c>
    </row>
    <row r="5" spans="1:4" x14ac:dyDescent="0.25">
      <c r="A5" s="53" t="s">
        <v>101</v>
      </c>
      <c r="B5" t="s">
        <v>103</v>
      </c>
      <c r="C5" s="52" t="s">
        <v>142</v>
      </c>
      <c r="D5" t="s">
        <v>115</v>
      </c>
    </row>
    <row r="6" spans="1:4" x14ac:dyDescent="0.25">
      <c r="A6" s="53" t="s">
        <v>102</v>
      </c>
      <c r="B6" t="s">
        <v>104</v>
      </c>
      <c r="C6" s="52" t="s">
        <v>143</v>
      </c>
      <c r="D6" t="s">
        <v>116</v>
      </c>
    </row>
    <row r="7" spans="1:4" x14ac:dyDescent="0.25">
      <c r="A7" s="53" t="s">
        <v>105</v>
      </c>
      <c r="B7" t="s">
        <v>106</v>
      </c>
      <c r="C7" s="52" t="s">
        <v>144</v>
      </c>
      <c r="D7" t="s">
        <v>117</v>
      </c>
    </row>
    <row r="9" spans="1:4" x14ac:dyDescent="0.25">
      <c r="A9" s="54" t="s">
        <v>108</v>
      </c>
    </row>
    <row r="10" spans="1:4" x14ac:dyDescent="0.25">
      <c r="B10" s="53" t="s">
        <v>137</v>
      </c>
      <c r="C10" s="52" t="s">
        <v>145</v>
      </c>
      <c r="D10" t="s">
        <v>148</v>
      </c>
    </row>
    <row r="11" spans="1:4" x14ac:dyDescent="0.25">
      <c r="B11" s="53" t="s">
        <v>138</v>
      </c>
      <c r="C11" s="52" t="s">
        <v>146</v>
      </c>
      <c r="D11" t="s">
        <v>149</v>
      </c>
    </row>
    <row r="12" spans="1:4" x14ac:dyDescent="0.25">
      <c r="B12" s="53" t="s">
        <v>140</v>
      </c>
      <c r="C12" s="52" t="s">
        <v>147</v>
      </c>
      <c r="D12" t="s">
        <v>150</v>
      </c>
    </row>
  </sheetData>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topLeftCell="A22" zoomScale="94" zoomScaleNormal="115" workbookViewId="0">
      <selection activeCell="B24" sqref="B24:C24"/>
    </sheetView>
  </sheetViews>
  <sheetFormatPr defaultColWidth="8.85546875" defaultRowHeight="15.75" x14ac:dyDescent="0.25"/>
  <cols>
    <col min="1" max="1" width="8.85546875" style="1"/>
    <col min="2" max="2" width="38.85546875" style="13" customWidth="1"/>
    <col min="3" max="3" width="27.140625" style="1" hidden="1" customWidth="1"/>
    <col min="4" max="4" width="40.5703125" style="13" customWidth="1"/>
    <col min="5" max="5" width="29.7109375" style="13" customWidth="1"/>
    <col min="6" max="6" width="44" style="1" customWidth="1"/>
    <col min="7" max="16384" width="8.85546875" style="1"/>
  </cols>
  <sheetData>
    <row r="1" spans="1:6" x14ac:dyDescent="0.25">
      <c r="A1" s="4" t="s">
        <v>12</v>
      </c>
      <c r="B1" s="56" t="s">
        <v>11</v>
      </c>
    </row>
    <row r="2" spans="1:6" x14ac:dyDescent="0.25">
      <c r="A2" s="3">
        <v>1</v>
      </c>
      <c r="B2" s="57" t="s">
        <v>7</v>
      </c>
      <c r="C2" s="1" t="s">
        <v>91</v>
      </c>
    </row>
    <row r="3" spans="1:6" x14ac:dyDescent="0.25">
      <c r="A3" s="3">
        <v>2</v>
      </c>
      <c r="B3" s="57" t="s">
        <v>8</v>
      </c>
      <c r="C3" s="1" t="s">
        <v>92</v>
      </c>
    </row>
    <row r="4" spans="1:6" x14ac:dyDescent="0.25">
      <c r="A4" s="3">
        <v>3</v>
      </c>
      <c r="B4" s="57" t="s">
        <v>9</v>
      </c>
      <c r="C4" s="1" t="s">
        <v>118</v>
      </c>
    </row>
    <row r="5" spans="1:6" x14ac:dyDescent="0.25">
      <c r="A5" s="3">
        <v>4</v>
      </c>
      <c r="B5" s="57" t="s">
        <v>10</v>
      </c>
    </row>
    <row r="6" spans="1:6" x14ac:dyDescent="0.25">
      <c r="B6" s="58" t="s">
        <v>1</v>
      </c>
      <c r="C6" s="2" t="s">
        <v>0</v>
      </c>
    </row>
    <row r="7" spans="1:6" x14ac:dyDescent="0.25">
      <c r="B7" s="58" t="s">
        <v>2</v>
      </c>
      <c r="C7" s="2" t="s">
        <v>3</v>
      </c>
    </row>
    <row r="8" spans="1:6" x14ac:dyDescent="0.25">
      <c r="B8" s="58" t="s">
        <v>4</v>
      </c>
      <c r="C8" s="2" t="s">
        <v>93</v>
      </c>
    </row>
    <row r="10" spans="1:6" x14ac:dyDescent="0.25">
      <c r="D10" s="61" t="s">
        <v>122</v>
      </c>
      <c r="E10" s="61"/>
      <c r="F10" s="59" t="s">
        <v>151</v>
      </c>
    </row>
    <row r="11" spans="1:6" ht="31.5" x14ac:dyDescent="0.25">
      <c r="A11" s="4" t="s">
        <v>14</v>
      </c>
      <c r="B11" s="56" t="s">
        <v>13</v>
      </c>
      <c r="D11" s="55" t="s">
        <v>95</v>
      </c>
      <c r="E11" s="55" t="s">
        <v>94</v>
      </c>
      <c r="F11" s="30" t="s">
        <v>95</v>
      </c>
    </row>
    <row r="12" spans="1:6" ht="38.450000000000003" customHeight="1" x14ac:dyDescent="0.25">
      <c r="A12" s="3">
        <v>1</v>
      </c>
      <c r="B12" s="62" t="s">
        <v>119</v>
      </c>
      <c r="C12" s="62"/>
      <c r="F12" s="1" t="s">
        <v>152</v>
      </c>
    </row>
    <row r="13" spans="1:6" ht="81.95" customHeight="1" x14ac:dyDescent="0.25">
      <c r="A13" s="3">
        <v>2</v>
      </c>
      <c r="B13" s="62" t="s">
        <v>120</v>
      </c>
      <c r="C13" s="62"/>
      <c r="F13" s="1" t="s">
        <v>152</v>
      </c>
    </row>
    <row r="14" spans="1:6" ht="42" customHeight="1" x14ac:dyDescent="0.25">
      <c r="A14" s="3">
        <v>3</v>
      </c>
      <c r="B14" s="62" t="s">
        <v>121</v>
      </c>
      <c r="C14" s="62"/>
      <c r="F14" s="1" t="s">
        <v>152</v>
      </c>
    </row>
    <row r="15" spans="1:6" ht="81.95" customHeight="1" x14ac:dyDescent="0.25">
      <c r="A15" s="3">
        <v>4</v>
      </c>
      <c r="B15" s="62" t="s">
        <v>160</v>
      </c>
      <c r="C15" s="62"/>
      <c r="F15" s="1" t="s">
        <v>154</v>
      </c>
    </row>
    <row r="16" spans="1:6" ht="110.25" x14ac:dyDescent="0.25">
      <c r="A16" s="3">
        <v>5</v>
      </c>
      <c r="B16" s="62" t="s">
        <v>123</v>
      </c>
      <c r="C16" s="62"/>
      <c r="D16" s="13" t="s">
        <v>127</v>
      </c>
      <c r="E16" s="13" t="s">
        <v>109</v>
      </c>
      <c r="F16" s="1" t="s">
        <v>154</v>
      </c>
    </row>
    <row r="17" spans="1:6" ht="46.5" customHeight="1" x14ac:dyDescent="0.25">
      <c r="A17" s="3">
        <v>6</v>
      </c>
      <c r="B17" s="62" t="s">
        <v>124</v>
      </c>
      <c r="C17" s="62"/>
      <c r="F17" s="1" t="s">
        <v>152</v>
      </c>
    </row>
    <row r="18" spans="1:6" ht="157.5" x14ac:dyDescent="0.25">
      <c r="A18" s="3">
        <v>7</v>
      </c>
      <c r="B18" s="62" t="s">
        <v>125</v>
      </c>
      <c r="C18" s="62"/>
      <c r="E18" s="13" t="s">
        <v>130</v>
      </c>
      <c r="F18" s="1" t="s">
        <v>154</v>
      </c>
    </row>
    <row r="19" spans="1:6" ht="94.5" x14ac:dyDescent="0.25">
      <c r="A19" s="3">
        <v>8</v>
      </c>
      <c r="B19" s="62" t="s">
        <v>135</v>
      </c>
      <c r="C19" s="62"/>
      <c r="D19" s="13" t="s">
        <v>128</v>
      </c>
      <c r="E19" s="13" t="s">
        <v>126</v>
      </c>
      <c r="F19" s="1" t="s">
        <v>153</v>
      </c>
    </row>
    <row r="20" spans="1:6" ht="123.6" customHeight="1" x14ac:dyDescent="0.25">
      <c r="A20" s="3">
        <v>9</v>
      </c>
      <c r="B20" s="62" t="s">
        <v>136</v>
      </c>
      <c r="C20" s="62"/>
      <c r="E20" s="13" t="s">
        <v>131</v>
      </c>
      <c r="F20" s="1" t="s">
        <v>153</v>
      </c>
    </row>
    <row r="21" spans="1:6" ht="156.94999999999999" customHeight="1" x14ac:dyDescent="0.25">
      <c r="A21" s="3">
        <v>10</v>
      </c>
      <c r="B21" s="62" t="s">
        <v>129</v>
      </c>
      <c r="C21" s="62"/>
      <c r="E21" s="13" t="s">
        <v>130</v>
      </c>
      <c r="F21" s="1" t="s">
        <v>154</v>
      </c>
    </row>
    <row r="22" spans="1:6" ht="179.45" customHeight="1" x14ac:dyDescent="0.25">
      <c r="A22" s="3">
        <v>11</v>
      </c>
      <c r="B22" s="62" t="s">
        <v>139</v>
      </c>
      <c r="C22" s="62"/>
      <c r="E22" s="13" t="s">
        <v>131</v>
      </c>
      <c r="F22" s="1" t="s">
        <v>153</v>
      </c>
    </row>
    <row r="23" spans="1:6" ht="60.95" customHeight="1" x14ac:dyDescent="0.25">
      <c r="A23" s="3">
        <v>12</v>
      </c>
      <c r="B23" s="62" t="s">
        <v>132</v>
      </c>
      <c r="C23" s="62"/>
      <c r="F23" s="1" t="s">
        <v>155</v>
      </c>
    </row>
    <row r="24" spans="1:6" ht="50.1" customHeight="1" x14ac:dyDescent="0.25">
      <c r="A24" s="3">
        <v>13</v>
      </c>
      <c r="B24" s="62" t="s">
        <v>161</v>
      </c>
      <c r="C24" s="62"/>
      <c r="F24" s="1" t="s">
        <v>155</v>
      </c>
    </row>
    <row r="25" spans="1:6" ht="43.5" customHeight="1" x14ac:dyDescent="0.25">
      <c r="A25" s="3">
        <v>14</v>
      </c>
      <c r="B25" s="62" t="s">
        <v>133</v>
      </c>
      <c r="C25" s="62"/>
      <c r="F25" s="1" t="s">
        <v>155</v>
      </c>
    </row>
    <row r="26" spans="1:6" ht="33" customHeight="1" x14ac:dyDescent="0.25">
      <c r="A26" s="3">
        <v>15</v>
      </c>
      <c r="B26" s="62" t="s">
        <v>134</v>
      </c>
      <c r="C26" s="62"/>
      <c r="F26" s="1" t="s">
        <v>155</v>
      </c>
    </row>
    <row r="27" spans="1:6" x14ac:dyDescent="0.25">
      <c r="A27" s="3"/>
      <c r="B27" s="63" t="s">
        <v>15</v>
      </c>
      <c r="C27" s="63"/>
    </row>
    <row r="28" spans="1:6" x14ac:dyDescent="0.25">
      <c r="A28" s="3"/>
      <c r="B28" s="62"/>
      <c r="C28" s="62"/>
    </row>
  </sheetData>
  <mergeCells count="18">
    <mergeCell ref="B16:C16"/>
    <mergeCell ref="B18:C18"/>
    <mergeCell ref="D10:E10"/>
    <mergeCell ref="B26:C26"/>
    <mergeCell ref="B27:C27"/>
    <mergeCell ref="B28:C28"/>
    <mergeCell ref="B14:C14"/>
    <mergeCell ref="B17:C17"/>
    <mergeCell ref="B20:C20"/>
    <mergeCell ref="B21:C21"/>
    <mergeCell ref="B22:C22"/>
    <mergeCell ref="B23:C23"/>
    <mergeCell ref="B24:C24"/>
    <mergeCell ref="B25:C25"/>
    <mergeCell ref="B19:C19"/>
    <mergeCell ref="B12:C12"/>
    <mergeCell ref="B13:C13"/>
    <mergeCell ref="B15:C1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C1" zoomScale="124" workbookViewId="0">
      <selection activeCell="L1" sqref="L1"/>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5" workbookViewId="0">
      <selection activeCell="O29" sqref="O29"/>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2"/>
  <sheetViews>
    <sheetView zoomScale="109" zoomScaleNormal="160" workbookViewId="0">
      <selection activeCell="E50" sqref="E50"/>
    </sheetView>
  </sheetViews>
  <sheetFormatPr defaultColWidth="8.85546875" defaultRowHeight="15.75" x14ac:dyDescent="0.25"/>
  <cols>
    <col min="1" max="1" width="8.85546875" style="3"/>
    <col min="2" max="2" width="60.42578125" style="1" customWidth="1"/>
    <col min="3" max="3" width="15.5703125" style="1" customWidth="1"/>
    <col min="4" max="4" width="20.5703125" style="5" customWidth="1"/>
    <col min="5" max="5" width="21.28515625" style="5" customWidth="1"/>
    <col min="6" max="6" width="15.140625" style="1" bestFit="1" customWidth="1"/>
    <col min="7" max="16384" width="8.85546875" style="1"/>
  </cols>
  <sheetData>
    <row r="1" spans="1:6" x14ac:dyDescent="0.25">
      <c r="B1" s="64" t="s">
        <v>156</v>
      </c>
      <c r="C1" s="64"/>
      <c r="D1" s="64"/>
      <c r="E1" s="64"/>
    </row>
    <row r="2" spans="1:6" x14ac:dyDescent="0.25">
      <c r="B2" s="64" t="s">
        <v>22</v>
      </c>
      <c r="C2" s="64"/>
      <c r="D2" s="64"/>
      <c r="E2" s="64"/>
    </row>
    <row r="3" spans="1:6" x14ac:dyDescent="0.25">
      <c r="B3" s="65" t="s">
        <v>118</v>
      </c>
      <c r="C3" s="65"/>
      <c r="D3" s="65"/>
      <c r="E3" s="65"/>
    </row>
    <row r="4" spans="1:6" x14ac:dyDescent="0.25">
      <c r="B4" s="66" t="s">
        <v>157</v>
      </c>
      <c r="C4" s="66"/>
      <c r="D4" s="66"/>
      <c r="E4" s="66"/>
    </row>
    <row r="5" spans="1:6" x14ac:dyDescent="0.25">
      <c r="A5" s="26" t="s">
        <v>6</v>
      </c>
      <c r="B5" s="26" t="s">
        <v>17</v>
      </c>
      <c r="C5" s="26" t="s">
        <v>18</v>
      </c>
      <c r="D5" s="31" t="s">
        <v>19</v>
      </c>
      <c r="E5" s="31" t="s">
        <v>20</v>
      </c>
    </row>
    <row r="6" spans="1:6" ht="28.35" customHeight="1" x14ac:dyDescent="0.25">
      <c r="A6" s="6">
        <v>1</v>
      </c>
      <c r="B6" s="7" t="str">
        <f>VLOOKUP(A6,'Kịch bản'!$A$12:$C$26,2,FALSE)</f>
        <v>Ngày 10/01/20X6, các chủ sở hữu góp vốn kinh doanh 10 tỷ bằng chuyển khoản.</v>
      </c>
      <c r="C6" s="8">
        <v>112</v>
      </c>
      <c r="D6" s="14">
        <v>5000000000</v>
      </c>
      <c r="E6" s="15"/>
    </row>
    <row r="7" spans="1:6" ht="31.5" x14ac:dyDescent="0.25">
      <c r="A7" s="9">
        <v>1</v>
      </c>
      <c r="B7" s="7" t="str">
        <f>VLOOKUP(A7,'Kịch bản'!$A$12:$C$26,2,FALSE)</f>
        <v>Ngày 10/01/20X6, các chủ sở hữu góp vốn kinh doanh 10 tỷ bằng chuyển khoản.</v>
      </c>
      <c r="C7" s="11">
        <v>411</v>
      </c>
      <c r="D7" s="16"/>
      <c r="E7" s="17">
        <f>D6</f>
        <v>5000000000</v>
      </c>
    </row>
    <row r="8" spans="1:6" ht="45.6" customHeight="1" x14ac:dyDescent="0.25">
      <c r="A8" s="6">
        <v>2</v>
      </c>
      <c r="B8" s="7" t="str">
        <f>VLOOKUP(A8,'Kịch bản'!$A$12:$C$26,2,FALSE)</f>
        <v>Ngày 15/01/20X6, vay ngân hàng 2 tỷ, thời hạn 1 năm, lãi suất 12%/năm, thanh toán lãi hàng tháng bằng chuyển khoản, trả gốc khi đáo hạn.</v>
      </c>
      <c r="C8" s="8">
        <v>112</v>
      </c>
      <c r="D8" s="14">
        <v>2000000000</v>
      </c>
      <c r="E8" s="15"/>
    </row>
    <row r="9" spans="1:6" ht="47.25" x14ac:dyDescent="0.25">
      <c r="A9" s="9">
        <v>2</v>
      </c>
      <c r="B9" s="7" t="str">
        <f>VLOOKUP(A9,'Kịch bản'!$A$12:$C$26,2,FALSE)</f>
        <v>Ngày 15/01/20X6, vay ngân hàng 2 tỷ, thời hạn 1 năm, lãi suất 12%/năm, thanh toán lãi hàng tháng bằng chuyển khoản, trả gốc khi đáo hạn.</v>
      </c>
      <c r="C9" s="11">
        <v>341</v>
      </c>
      <c r="D9" s="16"/>
      <c r="E9" s="17">
        <f>D8</f>
        <v>2000000000</v>
      </c>
    </row>
    <row r="10" spans="1:6" ht="35.450000000000003" customHeight="1" x14ac:dyDescent="0.25">
      <c r="A10" s="6">
        <v>3</v>
      </c>
      <c r="B10" s="7" t="str">
        <f>VLOOKUP(A10,'Kịch bản'!$A$12:$C$26,2,FALSE)</f>
        <v>Ngày 15/01/20X6 rút tiền gửi ngân hàng về nhập quỹ tiền mặt 300 triệu</v>
      </c>
      <c r="C10" s="8">
        <v>111</v>
      </c>
      <c r="D10" s="14">
        <v>300000000</v>
      </c>
      <c r="E10" s="15"/>
    </row>
    <row r="11" spans="1:6" x14ac:dyDescent="0.25">
      <c r="A11" s="9"/>
      <c r="B11" s="7"/>
      <c r="C11" s="11">
        <v>112</v>
      </c>
      <c r="D11" s="16"/>
      <c r="E11" s="17">
        <f>D10</f>
        <v>300000000</v>
      </c>
    </row>
    <row r="12" spans="1:6" ht="63" x14ac:dyDescent="0.25">
      <c r="A12" s="6">
        <v>4</v>
      </c>
      <c r="B12" s="7" t="str">
        <f>VLOOKUP(A12,'Kịch bản'!$A$12:$C$26,2,FALSE)</f>
        <v>Ngày 16/01/20X6, mua thiết bị văn phòng trị giá 100 triệu, chưa bao gồm thuế GTGT 10% được khấu trừ, chi phí lắp đặt các thiết bị trên là 2 triệu, đã thanh toán bằng chuyển khoản. Tài sản dự kiến sử dụng 10 năm</v>
      </c>
      <c r="C12" s="8">
        <v>211</v>
      </c>
      <c r="D12" s="14">
        <v>102000000</v>
      </c>
      <c r="E12" s="15"/>
    </row>
    <row r="13" spans="1:6" x14ac:dyDescent="0.25">
      <c r="A13" s="12"/>
      <c r="B13" s="13"/>
      <c r="C13" s="1">
        <v>133</v>
      </c>
      <c r="D13" s="18">
        <v>10000000</v>
      </c>
      <c r="E13" s="19"/>
    </row>
    <row r="14" spans="1:6" x14ac:dyDescent="0.25">
      <c r="A14" s="12"/>
      <c r="B14" s="13"/>
      <c r="C14" s="1">
        <v>112</v>
      </c>
      <c r="D14" s="18"/>
      <c r="E14" s="19">
        <v>112000000</v>
      </c>
    </row>
    <row r="15" spans="1:6" x14ac:dyDescent="0.25">
      <c r="A15" s="9"/>
      <c r="B15" s="10"/>
      <c r="C15" s="11"/>
      <c r="D15" s="16"/>
      <c r="E15" s="17"/>
    </row>
    <row r="16" spans="1:6" ht="31.5" x14ac:dyDescent="0.25">
      <c r="A16" s="6">
        <v>5</v>
      </c>
      <c r="B16" s="7" t="str">
        <f>VLOOKUP(A16,'Kịch bản'!$A$12:$C$26,2,FALSE)</f>
        <v>Ngày 16/01/20X6, mua 10 chiếc máy tính, đã nhập kho, đã thanh toán chuyển khoản.</v>
      </c>
      <c r="C16" s="8">
        <v>156</v>
      </c>
      <c r="D16" s="14">
        <v>100000000</v>
      </c>
      <c r="E16" s="15"/>
      <c r="F16" s="1" t="s">
        <v>158</v>
      </c>
    </row>
    <row r="17" spans="1:6" x14ac:dyDescent="0.25">
      <c r="A17" s="12">
        <v>5</v>
      </c>
      <c r="B17" s="7"/>
      <c r="C17" s="1">
        <v>133</v>
      </c>
      <c r="D17" s="18">
        <v>10000000</v>
      </c>
      <c r="E17" s="19"/>
    </row>
    <row r="18" spans="1:6" x14ac:dyDescent="0.25">
      <c r="A18" s="9"/>
      <c r="B18" s="10"/>
      <c r="C18" s="11">
        <v>112</v>
      </c>
      <c r="D18" s="16"/>
      <c r="E18" s="17">
        <v>110000000</v>
      </c>
    </row>
    <row r="19" spans="1:6" ht="31.5" x14ac:dyDescent="0.25">
      <c r="A19" s="6">
        <v>6</v>
      </c>
      <c r="B19" s="7" t="str">
        <f>VLOOKUP(A19,'Kịch bản'!$A$12:$C$26,2,FALSE)</f>
        <v>Ngày 16/01/20X6, thanh toán tiền thuê nhà quý 1 (tháng 1,2,3) 30 triệu bằng chuyển khoản.</v>
      </c>
      <c r="C19" s="8">
        <v>242</v>
      </c>
      <c r="D19" s="14">
        <v>30000000</v>
      </c>
      <c r="E19" s="15"/>
    </row>
    <row r="20" spans="1:6" x14ac:dyDescent="0.25">
      <c r="A20" s="9"/>
      <c r="B20" s="10"/>
      <c r="C20" s="11">
        <v>112</v>
      </c>
      <c r="D20" s="16"/>
      <c r="E20" s="17">
        <f>D19</f>
        <v>30000000</v>
      </c>
    </row>
    <row r="21" spans="1:6" ht="31.5" x14ac:dyDescent="0.25">
      <c r="A21" s="6">
        <v>7</v>
      </c>
      <c r="B21" s="7" t="str">
        <f>VLOOKUP(A21,'Kịch bản'!$A$12:$C$26,2,FALSE)</f>
        <v>Ngày 20/01/20X6, mua 20 chiếc máy tính, đã nhập kho, chưa thanh toán.</v>
      </c>
      <c r="C21" s="8">
        <v>156</v>
      </c>
      <c r="D21" s="14">
        <v>240000000</v>
      </c>
      <c r="E21" s="15"/>
    </row>
    <row r="22" spans="1:6" x14ac:dyDescent="0.25">
      <c r="A22" s="12"/>
      <c r="B22" s="13"/>
      <c r="C22" s="1">
        <v>133</v>
      </c>
      <c r="D22" s="18">
        <f>10%*D21</f>
        <v>24000000</v>
      </c>
      <c r="E22" s="19"/>
    </row>
    <row r="23" spans="1:6" x14ac:dyDescent="0.25">
      <c r="A23" s="9"/>
      <c r="B23" s="10"/>
      <c r="C23" s="11">
        <v>331</v>
      </c>
      <c r="D23" s="16"/>
      <c r="E23" s="17">
        <f>D22+D21</f>
        <v>264000000</v>
      </c>
    </row>
    <row r="24" spans="1:6" ht="31.5" x14ac:dyDescent="0.25">
      <c r="A24" s="6">
        <v>8</v>
      </c>
      <c r="B24" s="7" t="str">
        <f>VLOOKUP(A24,'Kịch bản'!$A$12:$C$26,2,FALSE)</f>
        <v>Ngày 18/01/20X6, bán 15 chiếc máy tính cho công ty Phúc Sơn, đã giao hàng cho khách, khách hàng đã thanh toán chuyển khoản.</v>
      </c>
      <c r="C24" s="8">
        <v>112</v>
      </c>
      <c r="D24" s="14">
        <f>15*20000000*1.1</f>
        <v>330000000</v>
      </c>
      <c r="E24" s="15"/>
    </row>
    <row r="25" spans="1:6" x14ac:dyDescent="0.25">
      <c r="A25" s="12"/>
      <c r="B25" s="13"/>
      <c r="C25" s="1">
        <v>511</v>
      </c>
      <c r="D25" s="18"/>
      <c r="E25" s="19">
        <v>300000000</v>
      </c>
    </row>
    <row r="26" spans="1:6" x14ac:dyDescent="0.25">
      <c r="A26" s="12"/>
      <c r="B26" s="13"/>
      <c r="C26" s="1">
        <v>3331</v>
      </c>
      <c r="D26" s="18"/>
      <c r="E26" s="19">
        <v>30000000</v>
      </c>
    </row>
    <row r="27" spans="1:6" x14ac:dyDescent="0.25">
      <c r="A27" s="12"/>
      <c r="B27" s="13"/>
      <c r="C27" s="1">
        <v>632</v>
      </c>
      <c r="D27" s="18">
        <f>F28*15</f>
        <v>170000000</v>
      </c>
      <c r="E27" s="19"/>
      <c r="F27" s="1" t="s">
        <v>159</v>
      </c>
    </row>
    <row r="28" spans="1:6" x14ac:dyDescent="0.25">
      <c r="A28" s="9"/>
      <c r="B28" s="10"/>
      <c r="C28" s="11">
        <v>156</v>
      </c>
      <c r="D28" s="16"/>
      <c r="E28" s="17">
        <f>D27</f>
        <v>170000000</v>
      </c>
      <c r="F28" s="60">
        <f>(D16+D21)/30</f>
        <v>11333333.333333334</v>
      </c>
    </row>
    <row r="29" spans="1:6" ht="31.5" x14ac:dyDescent="0.25">
      <c r="A29" s="6">
        <v>9</v>
      </c>
      <c r="B29" s="7" t="str">
        <f>VLOOKUP(A29,'Kịch bản'!$A$12:$C$26,2,FALSE)</f>
        <v>Ngày 20/01/20X6, bán 12 chiếc máy tính cho công ty An Bình, đã giao hàng cho khách, khách hàng chưa thanh toán</v>
      </c>
      <c r="C29" s="8">
        <v>131</v>
      </c>
      <c r="D29" s="14">
        <f>12*24000000*1.1</f>
        <v>316800000</v>
      </c>
      <c r="E29" s="15"/>
    </row>
    <row r="30" spans="1:6" x14ac:dyDescent="0.25">
      <c r="A30" s="12"/>
      <c r="B30" s="13"/>
      <c r="C30" s="1">
        <v>511</v>
      </c>
      <c r="D30" s="18"/>
      <c r="E30" s="19">
        <f>12*24000000</f>
        <v>288000000</v>
      </c>
    </row>
    <row r="31" spans="1:6" x14ac:dyDescent="0.25">
      <c r="A31" s="12"/>
      <c r="B31" s="13"/>
      <c r="C31" s="1">
        <v>3331</v>
      </c>
      <c r="D31" s="18"/>
      <c r="E31" s="19">
        <f>E30*10%</f>
        <v>28800000</v>
      </c>
    </row>
    <row r="32" spans="1:6" x14ac:dyDescent="0.25">
      <c r="A32" s="12"/>
      <c r="B32" s="13"/>
      <c r="C32" s="1">
        <v>632</v>
      </c>
      <c r="D32" s="18">
        <f>12*F28</f>
        <v>136000000</v>
      </c>
      <c r="E32" s="19"/>
    </row>
    <row r="33" spans="1:6" x14ac:dyDescent="0.25">
      <c r="A33" s="12"/>
      <c r="B33" s="13"/>
      <c r="C33" s="1">
        <v>156</v>
      </c>
      <c r="D33" s="18"/>
      <c r="E33" s="19">
        <f>D32</f>
        <v>136000000</v>
      </c>
    </row>
    <row r="34" spans="1:6" ht="31.5" x14ac:dyDescent="0.25">
      <c r="A34" s="6">
        <v>10</v>
      </c>
      <c r="B34" s="7" t="str">
        <f>VLOOKUP(A34,'Kịch bản'!$A$12:$C$26,2,FALSE)</f>
        <v>Ngày 22/01/20X6, mua 10 chiếc máy tính, đã nhập kho, đã thanh toán chuyển khoản.</v>
      </c>
      <c r="C34" s="8">
        <v>156</v>
      </c>
      <c r="D34" s="14">
        <f>10*12000000</f>
        <v>120000000</v>
      </c>
      <c r="E34" s="15"/>
    </row>
    <row r="35" spans="1:6" x14ac:dyDescent="0.25">
      <c r="A35" s="12"/>
      <c r="B35" s="13"/>
      <c r="C35" s="1">
        <v>133</v>
      </c>
      <c r="D35" s="18">
        <f>D34*10%</f>
        <v>12000000</v>
      </c>
      <c r="E35" s="19"/>
    </row>
    <row r="36" spans="1:6" x14ac:dyDescent="0.25">
      <c r="A36" s="9"/>
      <c r="B36" s="10"/>
      <c r="C36" s="11">
        <v>112</v>
      </c>
      <c r="D36" s="16"/>
      <c r="E36" s="17">
        <f>D34+D35</f>
        <v>132000000</v>
      </c>
    </row>
    <row r="37" spans="1:6" ht="47.25" x14ac:dyDescent="0.25">
      <c r="A37" s="6">
        <v>11</v>
      </c>
      <c r="B37" s="7" t="str">
        <f>VLOOKUP(A37,'Kịch bản'!$A$12:$C$26,2,FALSE)</f>
        <v>Ngày 25/01/20X6, bán 5 chiếc máy tính cho công ty Xuân Phương, đã giao hàng cho khách, khách hàng đã thanh toán chuyển khoản.</v>
      </c>
      <c r="C37" s="8">
        <v>112</v>
      </c>
      <c r="D37" s="14">
        <f>5*24000000*1.1</f>
        <v>132000000.00000001</v>
      </c>
      <c r="E37" s="15"/>
    </row>
    <row r="38" spans="1:6" x14ac:dyDescent="0.25">
      <c r="A38" s="12"/>
      <c r="B38" s="13"/>
      <c r="C38" s="1">
        <v>511</v>
      </c>
      <c r="D38" s="18"/>
      <c r="E38" s="19">
        <f>5*24000000</f>
        <v>120000000</v>
      </c>
    </row>
    <row r="39" spans="1:6" x14ac:dyDescent="0.25">
      <c r="A39" s="12"/>
      <c r="B39" s="13"/>
      <c r="C39" s="1">
        <v>3331</v>
      </c>
      <c r="D39" s="18"/>
      <c r="E39" s="19">
        <f>E38*10%</f>
        <v>12000000</v>
      </c>
    </row>
    <row r="40" spans="1:6" x14ac:dyDescent="0.25">
      <c r="A40" s="12"/>
      <c r="B40" s="13"/>
      <c r="C40" s="1">
        <v>632</v>
      </c>
      <c r="D40" s="18">
        <f>F41*5</f>
        <v>59230769.230769232</v>
      </c>
      <c r="E40" s="19"/>
      <c r="F40" s="1" t="s">
        <v>159</v>
      </c>
    </row>
    <row r="41" spans="1:6" x14ac:dyDescent="0.25">
      <c r="A41" s="9"/>
      <c r="B41" s="10"/>
      <c r="C41" s="11">
        <v>156</v>
      </c>
      <c r="D41" s="16"/>
      <c r="E41" s="17">
        <f>D40</f>
        <v>59230769.230769232</v>
      </c>
      <c r="F41" s="60">
        <f>(F28*3+D34)/13</f>
        <v>11846153.846153846</v>
      </c>
    </row>
    <row r="42" spans="1:6" ht="78.75" x14ac:dyDescent="0.25">
      <c r="A42" s="6">
        <v>12</v>
      </c>
      <c r="B42" s="7" t="str">
        <f>VLOOKUP(A42,'Kịch bản'!$A$12:$C$26,2,FALSE)</f>
        <v>Ngày 31/01/20X6, tiền lương trong tháng của bộ phận bán hàng là 50 triệu, bộ phận quản lý là 20 triệu chưa thanh toán. Các khoản bảo hiểm phải đóng cho nhân viên bán hàng là 10 triệu, nhân viên quản lý doanh nghiệp là 4 triệu, phần trích từ lương nhân viên là 7 triệu chưa nộp.</v>
      </c>
      <c r="C42" s="8">
        <v>641</v>
      </c>
      <c r="D42" s="14">
        <v>50000000</v>
      </c>
      <c r="E42" s="15"/>
    </row>
    <row r="43" spans="1:6" x14ac:dyDescent="0.25">
      <c r="A43" s="12"/>
      <c r="B43" s="13"/>
      <c r="C43" s="1">
        <v>642</v>
      </c>
      <c r="D43" s="18">
        <v>20000000</v>
      </c>
      <c r="E43" s="19"/>
    </row>
    <row r="44" spans="1:6" x14ac:dyDescent="0.25">
      <c r="A44" s="12"/>
      <c r="B44" s="13"/>
      <c r="C44" s="1">
        <v>334</v>
      </c>
      <c r="D44" s="18"/>
      <c r="E44" s="19">
        <f>D42+D43</f>
        <v>70000000</v>
      </c>
    </row>
    <row r="45" spans="1:6" x14ac:dyDescent="0.25">
      <c r="A45" s="12"/>
      <c r="B45" s="13"/>
      <c r="C45" s="1">
        <v>641</v>
      </c>
      <c r="D45" s="18">
        <v>10000000</v>
      </c>
      <c r="E45" s="19"/>
    </row>
    <row r="46" spans="1:6" x14ac:dyDescent="0.25">
      <c r="A46" s="12"/>
      <c r="B46" s="13"/>
      <c r="C46" s="1">
        <v>642</v>
      </c>
      <c r="D46" s="18">
        <v>4000000</v>
      </c>
      <c r="E46" s="19"/>
    </row>
    <row r="47" spans="1:6" x14ac:dyDescent="0.25">
      <c r="A47" s="12"/>
      <c r="B47" s="13"/>
      <c r="C47" s="1">
        <v>334</v>
      </c>
      <c r="D47" s="18">
        <v>7000000</v>
      </c>
      <c r="E47" s="19"/>
    </row>
    <row r="48" spans="1:6" x14ac:dyDescent="0.25">
      <c r="A48" s="9"/>
      <c r="B48" s="10"/>
      <c r="C48" s="11">
        <v>338</v>
      </c>
      <c r="D48" s="16"/>
      <c r="E48" s="17">
        <f>SUM(D45:D47)</f>
        <v>21000000</v>
      </c>
    </row>
    <row r="49" spans="1:5" ht="38.450000000000003" customHeight="1" x14ac:dyDescent="0.25">
      <c r="A49" s="6">
        <v>13</v>
      </c>
      <c r="B49" s="7" t="str">
        <f>VLOOKUP(A49,'Kịch bản'!$A$12:$C$26,2,FALSE)</f>
        <v xml:space="preserve">Ngày 31/01/20X6, trích khấu hao của tài sản cố định dùng ở bộ phận quản lý </v>
      </c>
      <c r="C49" s="8">
        <v>642</v>
      </c>
      <c r="D49" s="14">
        <f>102000000/10/12/2</f>
        <v>425000</v>
      </c>
      <c r="E49" s="15"/>
    </row>
    <row r="50" spans="1:5" x14ac:dyDescent="0.25">
      <c r="A50" s="9"/>
      <c r="B50" s="10"/>
      <c r="C50" s="11">
        <v>214</v>
      </c>
      <c r="D50" s="16"/>
      <c r="E50" s="17">
        <f>D49</f>
        <v>425000</v>
      </c>
    </row>
    <row r="51" spans="1:5" ht="31.5" x14ac:dyDescent="0.25">
      <c r="A51" s="6">
        <v>14</v>
      </c>
      <c r="B51" s="7" t="str">
        <f>VLOOKUP(A51,'Kịch bản'!$A$12:$C$26,2,FALSE)</f>
        <v>Ngày 31/01/20X6, phân bổ chi phí thuê văn phòng trong tháng là 10 triệu.</v>
      </c>
      <c r="C51" s="8">
        <v>642</v>
      </c>
      <c r="D51" s="14">
        <v>10000000</v>
      </c>
      <c r="E51" s="15"/>
    </row>
    <row r="52" spans="1:5" x14ac:dyDescent="0.25">
      <c r="A52" s="9"/>
      <c r="B52" s="10"/>
      <c r="C52" s="11">
        <v>242</v>
      </c>
      <c r="D52" s="16"/>
      <c r="E52" s="17">
        <f>D51</f>
        <v>10000000</v>
      </c>
    </row>
    <row r="53" spans="1:5" ht="31.5" x14ac:dyDescent="0.25">
      <c r="A53" s="6">
        <v>15</v>
      </c>
      <c r="B53" s="7" t="str">
        <f>VLOOKUP(A53,'Kịch bản'!$A$12:$C$26,2,FALSE)</f>
        <v>Ngày 31/01/20X6, ghi nhận chi phí lãi vay chưa thanh toán trong kỳ là 10 triệu.</v>
      </c>
      <c r="C53" s="8">
        <v>635</v>
      </c>
      <c r="D53" s="14">
        <f>2000000000*12%/12/2</f>
        <v>10000000</v>
      </c>
      <c r="E53" s="15"/>
    </row>
    <row r="54" spans="1:5" x14ac:dyDescent="0.25">
      <c r="A54" s="9"/>
      <c r="B54" s="10"/>
      <c r="C54" s="11">
        <v>112</v>
      </c>
      <c r="D54" s="16"/>
      <c r="E54" s="17">
        <f>D53</f>
        <v>10000000</v>
      </c>
    </row>
    <row r="55" spans="1:5" x14ac:dyDescent="0.25">
      <c r="A55" s="6">
        <v>16</v>
      </c>
      <c r="B55" s="7" t="s">
        <v>86</v>
      </c>
      <c r="C55" s="8">
        <v>511</v>
      </c>
      <c r="D55" s="14">
        <f>SUMIF($C$6:$C$54,C55,$E$6:$E$54)</f>
        <v>708000000</v>
      </c>
      <c r="E55" s="15"/>
    </row>
    <row r="56" spans="1:5" x14ac:dyDescent="0.25">
      <c r="A56" s="9"/>
      <c r="B56" s="10"/>
      <c r="C56" s="11">
        <v>911</v>
      </c>
      <c r="D56" s="16"/>
      <c r="E56" s="17">
        <f>D55</f>
        <v>708000000</v>
      </c>
    </row>
    <row r="57" spans="1:5" x14ac:dyDescent="0.25">
      <c r="A57" s="6">
        <v>17</v>
      </c>
      <c r="B57" s="7" t="s">
        <v>87</v>
      </c>
      <c r="C57" s="8">
        <v>911</v>
      </c>
      <c r="D57" s="14">
        <f>SUM(E58:E61)</f>
        <v>469655769.23076922</v>
      </c>
      <c r="E57" s="15"/>
    </row>
    <row r="58" spans="1:5" x14ac:dyDescent="0.25">
      <c r="A58" s="12"/>
      <c r="B58" s="13"/>
      <c r="C58" s="1">
        <v>632</v>
      </c>
      <c r="D58" s="18"/>
      <c r="E58" s="19">
        <f>SUMIF($C$6:$C$54,C58,$D$6:$D$54)</f>
        <v>365230769.23076922</v>
      </c>
    </row>
    <row r="59" spans="1:5" x14ac:dyDescent="0.25">
      <c r="A59" s="12"/>
      <c r="B59" s="13"/>
      <c r="C59" s="1">
        <v>641</v>
      </c>
      <c r="D59" s="18"/>
      <c r="E59" s="19">
        <f>SUMIF($C$6:$C$54,C59,$D$6:$D$54)</f>
        <v>60000000</v>
      </c>
    </row>
    <row r="60" spans="1:5" x14ac:dyDescent="0.25">
      <c r="A60" s="12"/>
      <c r="B60" s="13"/>
      <c r="C60" s="1">
        <v>642</v>
      </c>
      <c r="D60" s="18"/>
      <c r="E60" s="19">
        <f t="shared" ref="E60:E62" si="0">SUMIF($C$6:$C$54,C60,$D$6:$D$54)</f>
        <v>34425000</v>
      </c>
    </row>
    <row r="61" spans="1:5" x14ac:dyDescent="0.25">
      <c r="A61" s="9"/>
      <c r="B61" s="10"/>
      <c r="C61" s="11">
        <v>635</v>
      </c>
      <c r="D61" s="16"/>
      <c r="E61" s="19">
        <f t="shared" si="0"/>
        <v>10000000</v>
      </c>
    </row>
    <row r="62" spans="1:5" x14ac:dyDescent="0.25">
      <c r="A62" s="6">
        <v>18</v>
      </c>
      <c r="B62" s="7" t="s">
        <v>88</v>
      </c>
      <c r="C62" s="8">
        <v>911</v>
      </c>
      <c r="D62" s="14">
        <f>D55-D57</f>
        <v>238344230.76923078</v>
      </c>
      <c r="E62" s="15">
        <f t="shared" si="0"/>
        <v>0</v>
      </c>
    </row>
    <row r="63" spans="1:5" x14ac:dyDescent="0.25">
      <c r="A63" s="9"/>
      <c r="B63" s="10"/>
      <c r="C63" s="11">
        <v>421</v>
      </c>
      <c r="D63" s="16"/>
      <c r="E63" s="17">
        <f>D62</f>
        <v>238344230.76923078</v>
      </c>
    </row>
    <row r="64" spans="1:5" x14ac:dyDescent="0.25">
      <c r="A64" s="12">
        <v>19</v>
      </c>
      <c r="B64" s="13" t="s">
        <v>89</v>
      </c>
      <c r="C64" s="1">
        <v>3331</v>
      </c>
      <c r="D64" s="18">
        <f>MIN('Bang can doi so phat sinh'!F10,'Bang can doi so phat sinh'!G16)</f>
        <v>56000000</v>
      </c>
      <c r="E64" s="19"/>
    </row>
    <row r="65" spans="1:5" x14ac:dyDescent="0.25">
      <c r="A65" s="9"/>
      <c r="B65" s="10"/>
      <c r="C65" s="11">
        <v>133</v>
      </c>
      <c r="D65" s="16"/>
      <c r="E65" s="17">
        <f>D64</f>
        <v>56000000</v>
      </c>
    </row>
    <row r="66" spans="1:5" s="30" customFormat="1" x14ac:dyDescent="0.25">
      <c r="A66" s="26"/>
      <c r="B66" s="32" t="s">
        <v>29</v>
      </c>
      <c r="C66" s="33"/>
      <c r="D66" s="29">
        <f>SUM(D6:D65)</f>
        <v>10675455769.23077</v>
      </c>
      <c r="E66" s="29">
        <f>SUM(E6:E65)</f>
        <v>10675455769.23077</v>
      </c>
    </row>
    <row r="67" spans="1:5" x14ac:dyDescent="0.25">
      <c r="B67" s="13"/>
    </row>
    <row r="68" spans="1:5" x14ac:dyDescent="0.25">
      <c r="B68" s="13"/>
    </row>
    <row r="69" spans="1:5" x14ac:dyDescent="0.25">
      <c r="B69" s="13"/>
    </row>
    <row r="70" spans="1:5" x14ac:dyDescent="0.25">
      <c r="B70" s="13"/>
    </row>
    <row r="71" spans="1:5" x14ac:dyDescent="0.25">
      <c r="B71" s="13"/>
    </row>
    <row r="72" spans="1:5" x14ac:dyDescent="0.25">
      <c r="B72" s="13"/>
    </row>
    <row r="73" spans="1:5" x14ac:dyDescent="0.25">
      <c r="B73" s="13"/>
    </row>
    <row r="74" spans="1:5" x14ac:dyDescent="0.25">
      <c r="B74" s="13"/>
    </row>
    <row r="75" spans="1:5" x14ac:dyDescent="0.25">
      <c r="B75" s="13"/>
    </row>
    <row r="76" spans="1:5" x14ac:dyDescent="0.25">
      <c r="B76" s="13"/>
    </row>
    <row r="77" spans="1:5" x14ac:dyDescent="0.25">
      <c r="B77" s="13"/>
    </row>
    <row r="78" spans="1:5" x14ac:dyDescent="0.25">
      <c r="B78" s="13"/>
    </row>
    <row r="79" spans="1:5" x14ac:dyDescent="0.25">
      <c r="B79" s="13"/>
    </row>
    <row r="80" spans="1:5" x14ac:dyDescent="0.25">
      <c r="B80" s="13"/>
    </row>
    <row r="81" spans="2:2" x14ac:dyDescent="0.25">
      <c r="B81" s="13"/>
    </row>
    <row r="82" spans="2:2" x14ac:dyDescent="0.25">
      <c r="B82" s="13"/>
    </row>
    <row r="83" spans="2:2" x14ac:dyDescent="0.25">
      <c r="B83" s="13"/>
    </row>
    <row r="84" spans="2:2" x14ac:dyDescent="0.25">
      <c r="B84" s="13"/>
    </row>
    <row r="85" spans="2:2" x14ac:dyDescent="0.25">
      <c r="B85" s="13"/>
    </row>
    <row r="86" spans="2:2" x14ac:dyDescent="0.25">
      <c r="B86" s="13"/>
    </row>
    <row r="87" spans="2:2" x14ac:dyDescent="0.25">
      <c r="B87" s="13"/>
    </row>
    <row r="88" spans="2:2" x14ac:dyDescent="0.25">
      <c r="B88" s="13"/>
    </row>
    <row r="89" spans="2:2" x14ac:dyDescent="0.25">
      <c r="B89" s="13"/>
    </row>
    <row r="90" spans="2:2" x14ac:dyDescent="0.25">
      <c r="B90" s="13"/>
    </row>
    <row r="91" spans="2:2" x14ac:dyDescent="0.25">
      <c r="B91" s="13"/>
    </row>
    <row r="92" spans="2:2" x14ac:dyDescent="0.25">
      <c r="B92" s="13"/>
    </row>
    <row r="93" spans="2:2" x14ac:dyDescent="0.25">
      <c r="B93" s="13"/>
    </row>
    <row r="94" spans="2:2" x14ac:dyDescent="0.25">
      <c r="B94" s="13"/>
    </row>
    <row r="95" spans="2:2" x14ac:dyDescent="0.25">
      <c r="B95" s="13"/>
    </row>
    <row r="96" spans="2:2" x14ac:dyDescent="0.25">
      <c r="B96" s="13"/>
    </row>
    <row r="97" spans="2:2" x14ac:dyDescent="0.25">
      <c r="B97" s="13"/>
    </row>
    <row r="98" spans="2:2" x14ac:dyDescent="0.25">
      <c r="B98" s="13"/>
    </row>
    <row r="99" spans="2:2" x14ac:dyDescent="0.25">
      <c r="B99" s="13"/>
    </row>
    <row r="100" spans="2:2" x14ac:dyDescent="0.25">
      <c r="B100" s="13"/>
    </row>
    <row r="101" spans="2:2" x14ac:dyDescent="0.25">
      <c r="B101" s="13"/>
    </row>
    <row r="102" spans="2:2" x14ac:dyDescent="0.25">
      <c r="B102" s="13"/>
    </row>
    <row r="103" spans="2:2" x14ac:dyDescent="0.25">
      <c r="B103" s="13"/>
    </row>
    <row r="104" spans="2:2" x14ac:dyDescent="0.25">
      <c r="B104" s="13"/>
    </row>
    <row r="105" spans="2:2" x14ac:dyDescent="0.25">
      <c r="B105" s="13"/>
    </row>
    <row r="106" spans="2:2" x14ac:dyDescent="0.25">
      <c r="B106" s="13"/>
    </row>
    <row r="107" spans="2:2" x14ac:dyDescent="0.25">
      <c r="B107" s="13"/>
    </row>
    <row r="108" spans="2:2" x14ac:dyDescent="0.25">
      <c r="B108" s="13"/>
    </row>
    <row r="109" spans="2:2" x14ac:dyDescent="0.25">
      <c r="B109" s="13"/>
    </row>
    <row r="110" spans="2:2" x14ac:dyDescent="0.25">
      <c r="B110" s="13"/>
    </row>
    <row r="111" spans="2:2" x14ac:dyDescent="0.25">
      <c r="B111" s="13"/>
    </row>
    <row r="112" spans="2:2" x14ac:dyDescent="0.25">
      <c r="B112" s="13"/>
    </row>
  </sheetData>
  <autoFilter ref="A5:E112"/>
  <mergeCells count="4">
    <mergeCell ref="B1:E1"/>
    <mergeCell ref="B2:E2"/>
    <mergeCell ref="B3:E3"/>
    <mergeCell ref="B4:E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topLeftCell="A4" zoomScale="109" zoomScaleNormal="145" workbookViewId="0">
      <selection activeCell="B15" sqref="B15"/>
    </sheetView>
  </sheetViews>
  <sheetFormatPr defaultColWidth="8.85546875" defaultRowHeight="15.75" x14ac:dyDescent="0.25"/>
  <cols>
    <col min="1" max="1" width="8.85546875" style="3"/>
    <col min="2" max="2" width="27.140625" style="3" customWidth="1"/>
    <col min="3" max="3" width="10.5703125" style="1" customWidth="1"/>
    <col min="4" max="4" width="11.85546875" style="1" customWidth="1"/>
    <col min="5" max="5" width="11.85546875" style="5" customWidth="1"/>
    <col min="6" max="6" width="18.28515625" style="5" bestFit="1" customWidth="1"/>
    <col min="7" max="7" width="18.28515625" style="1" bestFit="1" customWidth="1"/>
    <col min="8" max="9" width="17.140625" style="1" bestFit="1" customWidth="1"/>
    <col min="10" max="16384" width="8.85546875" style="1"/>
  </cols>
  <sheetData>
    <row r="1" spans="1:9" x14ac:dyDescent="0.25">
      <c r="C1" s="64" t="s">
        <v>162</v>
      </c>
      <c r="D1" s="64"/>
      <c r="E1" s="64"/>
      <c r="F1" s="64"/>
      <c r="G1" s="64"/>
      <c r="H1" s="64"/>
      <c r="I1" s="64"/>
    </row>
    <row r="2" spans="1:9" x14ac:dyDescent="0.25">
      <c r="C2" s="64" t="s">
        <v>23</v>
      </c>
      <c r="D2" s="64"/>
      <c r="E2" s="64"/>
      <c r="F2" s="64"/>
      <c r="G2" s="64"/>
      <c r="H2" s="64"/>
      <c r="I2" s="64"/>
    </row>
    <row r="3" spans="1:9" x14ac:dyDescent="0.25">
      <c r="C3" s="65" t="s">
        <v>118</v>
      </c>
      <c r="D3" s="65"/>
      <c r="E3" s="65"/>
      <c r="F3" s="65"/>
      <c r="G3" s="65"/>
      <c r="H3" s="65"/>
      <c r="I3" s="65"/>
    </row>
    <row r="4" spans="1:9" x14ac:dyDescent="0.25">
      <c r="C4" s="69" t="s">
        <v>157</v>
      </c>
      <c r="D4" s="69" t="s">
        <v>21</v>
      </c>
      <c r="E4" s="69"/>
      <c r="F4" s="69"/>
      <c r="G4" s="69"/>
      <c r="H4" s="69"/>
      <c r="I4" s="69"/>
    </row>
    <row r="5" spans="1:9" x14ac:dyDescent="0.25">
      <c r="A5" s="67" t="s">
        <v>6</v>
      </c>
      <c r="B5" s="67" t="s">
        <v>24</v>
      </c>
      <c r="C5" s="67" t="s">
        <v>34</v>
      </c>
      <c r="D5" s="70" t="s">
        <v>27</v>
      </c>
      <c r="E5" s="70"/>
      <c r="F5" s="70" t="s">
        <v>25</v>
      </c>
      <c r="G5" s="70"/>
      <c r="H5" s="70" t="s">
        <v>26</v>
      </c>
      <c r="I5" s="70"/>
    </row>
    <row r="6" spans="1:9" x14ac:dyDescent="0.25">
      <c r="A6" s="68"/>
      <c r="B6" s="68"/>
      <c r="C6" s="68"/>
      <c r="D6" s="26" t="s">
        <v>19</v>
      </c>
      <c r="E6" s="31" t="s">
        <v>20</v>
      </c>
      <c r="F6" s="31" t="s">
        <v>19</v>
      </c>
      <c r="G6" s="26" t="s">
        <v>20</v>
      </c>
      <c r="H6" s="26" t="s">
        <v>19</v>
      </c>
      <c r="I6" s="26" t="s">
        <v>20</v>
      </c>
    </row>
    <row r="7" spans="1:9" x14ac:dyDescent="0.25">
      <c r="A7" s="20">
        <v>1</v>
      </c>
      <c r="B7" s="35" t="s">
        <v>33</v>
      </c>
      <c r="C7" s="35">
        <v>111</v>
      </c>
      <c r="D7" s="25">
        <v>0</v>
      </c>
      <c r="E7" s="25"/>
      <c r="F7" s="23">
        <f>SUMIF('Sổ Nhật ký chung'!$C$6:$C$65,'Bang can doi so phat sinh'!C7,'Sổ Nhật ký chung'!$D$6:$D$65)</f>
        <v>300000000</v>
      </c>
      <c r="G7" s="23">
        <f>SUMIF('Sổ Nhật ký chung'!$C$6:$C$65,'Bang can doi so phat sinh'!C7,'Sổ Nhật ký chung'!$E$6:$E$65)</f>
        <v>0</v>
      </c>
      <c r="H7" s="24">
        <f>D7+F7-G7</f>
        <v>300000000</v>
      </c>
      <c r="I7" s="22"/>
    </row>
    <row r="8" spans="1:9" x14ac:dyDescent="0.25">
      <c r="A8" s="20">
        <v>2</v>
      </c>
      <c r="B8" s="35" t="s">
        <v>35</v>
      </c>
      <c r="C8" s="35">
        <v>112</v>
      </c>
      <c r="D8" s="25">
        <v>0</v>
      </c>
      <c r="E8" s="25"/>
      <c r="F8" s="23">
        <f>SUMIF('Sổ Nhật ký chung'!$C$6:$C$65,'Bang can doi so phat sinh'!C8,'Sổ Nhật ký chung'!$D$6:$D$65)</f>
        <v>7462000000</v>
      </c>
      <c r="G8" s="23">
        <f>SUMIF('Sổ Nhật ký chung'!$C$6:$C$65,'Bang can doi so phat sinh'!C8,'Sổ Nhật ký chung'!$E$6:$E$65)</f>
        <v>694000000</v>
      </c>
      <c r="H8" s="24">
        <f t="shared" ref="H8:H12" si="0">D8+F8-G8</f>
        <v>6768000000</v>
      </c>
      <c r="I8" s="22"/>
    </row>
    <row r="9" spans="1:9" x14ac:dyDescent="0.25">
      <c r="A9" s="20">
        <v>3</v>
      </c>
      <c r="B9" s="35" t="s">
        <v>36</v>
      </c>
      <c r="C9" s="35">
        <v>131</v>
      </c>
      <c r="D9" s="25">
        <v>0</v>
      </c>
      <c r="E9" s="25"/>
      <c r="F9" s="23">
        <f>SUMIF('Sổ Nhật ký chung'!$C$6:$C$65,'Bang can doi so phat sinh'!C9,'Sổ Nhật ký chung'!$D$6:$D$65)</f>
        <v>316800000</v>
      </c>
      <c r="G9" s="23">
        <f>SUMIF('Sổ Nhật ký chung'!$C$6:$C$65,'Bang can doi so phat sinh'!C9,'Sổ Nhật ký chung'!$E$6:$E$65)</f>
        <v>0</v>
      </c>
      <c r="H9" s="24">
        <f t="shared" si="0"/>
        <v>316800000</v>
      </c>
      <c r="I9" s="22"/>
    </row>
    <row r="10" spans="1:9" x14ac:dyDescent="0.25">
      <c r="A10" s="20">
        <v>4</v>
      </c>
      <c r="B10" s="35" t="s">
        <v>37</v>
      </c>
      <c r="C10" s="35">
        <v>133</v>
      </c>
      <c r="D10" s="25">
        <v>0</v>
      </c>
      <c r="E10" s="25"/>
      <c r="F10" s="23">
        <f>SUMIF('Sổ Nhật ký chung'!$C$6:$C$65,'Bang can doi so phat sinh'!C10,'Sổ Nhật ký chung'!$D$6:$D$65)</f>
        <v>56000000</v>
      </c>
      <c r="G10" s="23">
        <f>SUMIF('Sổ Nhật ký chung'!$C$6:$C$65,'Bang can doi so phat sinh'!C10,'Sổ Nhật ký chung'!$E$6:$E$65)</f>
        <v>56000000</v>
      </c>
      <c r="H10" s="24">
        <f t="shared" si="0"/>
        <v>0</v>
      </c>
      <c r="I10" s="22"/>
    </row>
    <row r="11" spans="1:9" x14ac:dyDescent="0.25">
      <c r="A11" s="20">
        <v>5</v>
      </c>
      <c r="B11" s="35" t="s">
        <v>38</v>
      </c>
      <c r="C11" s="35">
        <v>156</v>
      </c>
      <c r="D11" s="25">
        <v>0</v>
      </c>
      <c r="E11" s="25"/>
      <c r="F11" s="23">
        <f>SUMIF('Sổ Nhật ký chung'!$C$6:$C$65,'Bang can doi so phat sinh'!C11,'Sổ Nhật ký chung'!$D$6:$D$65)</f>
        <v>460000000</v>
      </c>
      <c r="G11" s="23">
        <f>SUMIF('Sổ Nhật ký chung'!$C$6:$C$65,'Bang can doi so phat sinh'!C11,'Sổ Nhật ký chung'!$E$6:$E$65)</f>
        <v>365230769.23076922</v>
      </c>
      <c r="H11" s="24">
        <f t="shared" si="0"/>
        <v>94769230.769230783</v>
      </c>
      <c r="I11" s="22"/>
    </row>
    <row r="12" spans="1:9" x14ac:dyDescent="0.25">
      <c r="A12" s="20">
        <v>6</v>
      </c>
      <c r="B12" s="35" t="s">
        <v>90</v>
      </c>
      <c r="C12" s="35">
        <v>211</v>
      </c>
      <c r="D12" s="25">
        <v>0</v>
      </c>
      <c r="E12" s="25"/>
      <c r="F12" s="23">
        <f>SUMIF('Sổ Nhật ký chung'!$C$6:$C$65,'Bang can doi so phat sinh'!C12,'Sổ Nhật ký chung'!$D$6:$D$65)</f>
        <v>102000000</v>
      </c>
      <c r="G12" s="23">
        <f>SUMIF('Sổ Nhật ký chung'!$C$6:$C$65,'Bang can doi so phat sinh'!C12,'Sổ Nhật ký chung'!$E$6:$E$65)</f>
        <v>0</v>
      </c>
      <c r="H12" s="24">
        <f t="shared" si="0"/>
        <v>102000000</v>
      </c>
      <c r="I12" s="22"/>
    </row>
    <row r="13" spans="1:9" x14ac:dyDescent="0.25">
      <c r="A13" s="45">
        <v>7</v>
      </c>
      <c r="B13" s="46" t="s">
        <v>39</v>
      </c>
      <c r="C13" s="47">
        <v>214</v>
      </c>
      <c r="D13" s="48"/>
      <c r="E13" s="48">
        <v>0</v>
      </c>
      <c r="F13" s="49">
        <f>SUMIF('Sổ Nhật ký chung'!$C$6:$C$65,'Bang can doi so phat sinh'!C13,'Sổ Nhật ký chung'!$D$6:$D$65)</f>
        <v>0</v>
      </c>
      <c r="G13" s="49">
        <f>SUMIF('Sổ Nhật ký chung'!$C$6:$C$65,'Bang can doi so phat sinh'!C13,'Sổ Nhật ký chung'!$E$6:$E$65)</f>
        <v>425000</v>
      </c>
      <c r="H13" s="50"/>
      <c r="I13" s="51">
        <f>E13-F13+G13</f>
        <v>425000</v>
      </c>
    </row>
    <row r="14" spans="1:9" x14ac:dyDescent="0.25">
      <c r="A14" s="20">
        <v>8</v>
      </c>
      <c r="B14" s="35" t="s">
        <v>171</v>
      </c>
      <c r="C14" s="35">
        <v>242</v>
      </c>
      <c r="D14" s="25">
        <v>0</v>
      </c>
      <c r="E14" s="25"/>
      <c r="F14" s="23">
        <f>SUMIF('Sổ Nhật ký chung'!$C$6:$C$65,'Bang can doi so phat sinh'!C14,'Sổ Nhật ký chung'!$D$6:$D$65)</f>
        <v>30000000</v>
      </c>
      <c r="G14" s="23">
        <f>SUMIF('Sổ Nhật ký chung'!$C$6:$C$65,'Bang can doi so phat sinh'!C14,'Sổ Nhật ký chung'!$E$6:$E$65)</f>
        <v>10000000</v>
      </c>
      <c r="H14" s="24">
        <f t="shared" ref="H14" si="1">D14+F14-G14</f>
        <v>20000000</v>
      </c>
      <c r="I14" s="24"/>
    </row>
    <row r="15" spans="1:9" x14ac:dyDescent="0.25">
      <c r="A15" s="20">
        <v>9</v>
      </c>
      <c r="B15" s="37" t="s">
        <v>41</v>
      </c>
      <c r="C15" s="35">
        <v>331</v>
      </c>
      <c r="D15" s="25"/>
      <c r="E15" s="25">
        <v>0</v>
      </c>
      <c r="F15" s="23">
        <f>SUMIF('Sổ Nhật ký chung'!$C$6:$C$65,'Bang can doi so phat sinh'!C15,'Sổ Nhật ký chung'!$D$6:$D$65)</f>
        <v>0</v>
      </c>
      <c r="G15" s="23">
        <f>SUMIF('Sổ Nhật ký chung'!$C$6:$C$65,'Bang can doi so phat sinh'!C15,'Sổ Nhật ký chung'!$E$6:$E$65)</f>
        <v>264000000</v>
      </c>
      <c r="H15" s="22"/>
      <c r="I15" s="24">
        <f t="shared" ref="I15:I27" si="2">E15+G15-F15</f>
        <v>264000000</v>
      </c>
    </row>
    <row r="16" spans="1:9" x14ac:dyDescent="0.25">
      <c r="A16" s="20">
        <v>10</v>
      </c>
      <c r="B16" s="37" t="s">
        <v>42</v>
      </c>
      <c r="C16" s="36">
        <v>3331</v>
      </c>
      <c r="D16" s="25"/>
      <c r="E16" s="25">
        <v>0</v>
      </c>
      <c r="F16" s="23">
        <f>SUMIF('Sổ Nhật ký chung'!$C$6:$C$65,'Bang can doi so phat sinh'!C16,'Sổ Nhật ký chung'!$D$6:$D$65)</f>
        <v>56000000</v>
      </c>
      <c r="G16" s="23">
        <f>SUMIF('Sổ Nhật ký chung'!$C$6:$C$65,'Bang can doi so phat sinh'!C16,'Sổ Nhật ký chung'!$E$6:$E$65)</f>
        <v>70800000</v>
      </c>
      <c r="H16" s="22"/>
      <c r="I16" s="24">
        <f t="shared" si="2"/>
        <v>14800000</v>
      </c>
    </row>
    <row r="17" spans="1:9" x14ac:dyDescent="0.25">
      <c r="A17" s="20">
        <v>11</v>
      </c>
      <c r="B17" s="37" t="s">
        <v>43</v>
      </c>
      <c r="C17" s="35">
        <v>334</v>
      </c>
      <c r="D17" s="25"/>
      <c r="E17" s="25">
        <v>0</v>
      </c>
      <c r="F17" s="23">
        <f>SUMIF('Sổ Nhật ký chung'!$C$6:$C$65,'Bang can doi so phat sinh'!C17,'Sổ Nhật ký chung'!$D$6:$D$65)</f>
        <v>7000000</v>
      </c>
      <c r="G17" s="23">
        <f>SUMIF('Sổ Nhật ký chung'!$C$6:$C$65,'Bang can doi so phat sinh'!C17,'Sổ Nhật ký chung'!$E$6:$E$65)</f>
        <v>70000000</v>
      </c>
      <c r="H17" s="22"/>
      <c r="I17" s="24">
        <f t="shared" si="2"/>
        <v>63000000</v>
      </c>
    </row>
    <row r="18" spans="1:9" x14ac:dyDescent="0.25">
      <c r="A18" s="20">
        <v>12</v>
      </c>
      <c r="B18" s="37" t="s">
        <v>44</v>
      </c>
      <c r="C18" s="35">
        <v>338</v>
      </c>
      <c r="D18" s="25"/>
      <c r="E18" s="25">
        <v>0</v>
      </c>
      <c r="F18" s="23">
        <f>SUMIF('Sổ Nhật ký chung'!$C$6:$C$65,'Bang can doi so phat sinh'!C18,'Sổ Nhật ký chung'!$D$6:$D$65)</f>
        <v>0</v>
      </c>
      <c r="G18" s="23">
        <f>SUMIF('Sổ Nhật ký chung'!$C$6:$C$65,'Bang can doi so phat sinh'!C18,'Sổ Nhật ký chung'!$E$6:$E$65)</f>
        <v>21000000</v>
      </c>
      <c r="H18" s="22"/>
      <c r="I18" s="24">
        <f t="shared" si="2"/>
        <v>21000000</v>
      </c>
    </row>
    <row r="19" spans="1:9" x14ac:dyDescent="0.25">
      <c r="A19" s="20">
        <v>13</v>
      </c>
      <c r="B19" s="35" t="s">
        <v>45</v>
      </c>
      <c r="C19" s="35">
        <v>341</v>
      </c>
      <c r="D19" s="25"/>
      <c r="E19" s="25">
        <v>0</v>
      </c>
      <c r="F19" s="23">
        <f>SUMIF('Sổ Nhật ký chung'!$C$6:$C$65,'Bang can doi so phat sinh'!C19,'Sổ Nhật ký chung'!$D$6:$D$65)</f>
        <v>0</v>
      </c>
      <c r="G19" s="23">
        <f>SUMIF('Sổ Nhật ký chung'!$C$6:$C$65,'Bang can doi so phat sinh'!C19,'Sổ Nhật ký chung'!$E$6:$E$65)</f>
        <v>2000000000</v>
      </c>
      <c r="H19" s="22"/>
      <c r="I19" s="24">
        <f t="shared" si="2"/>
        <v>2000000000</v>
      </c>
    </row>
    <row r="20" spans="1:9" x14ac:dyDescent="0.25">
      <c r="A20" s="20">
        <v>14</v>
      </c>
      <c r="B20" s="37" t="s">
        <v>46</v>
      </c>
      <c r="C20" s="35">
        <v>411</v>
      </c>
      <c r="D20" s="25"/>
      <c r="E20" s="25">
        <v>0</v>
      </c>
      <c r="F20" s="23">
        <f>SUMIF('Sổ Nhật ký chung'!$C$6:$C$65,'Bang can doi so phat sinh'!C20,'Sổ Nhật ký chung'!$D$6:$D$65)</f>
        <v>0</v>
      </c>
      <c r="G20" s="23">
        <f>SUMIF('Sổ Nhật ký chung'!$C$6:$C$65,'Bang can doi so phat sinh'!C20,'Sổ Nhật ký chung'!$E$6:$E$65)</f>
        <v>5000000000</v>
      </c>
      <c r="H20" s="22"/>
      <c r="I20" s="24">
        <f t="shared" si="2"/>
        <v>5000000000</v>
      </c>
    </row>
    <row r="21" spans="1:9" x14ac:dyDescent="0.25">
      <c r="A21" s="20">
        <v>15</v>
      </c>
      <c r="B21" s="37" t="s">
        <v>47</v>
      </c>
      <c r="C21" s="35">
        <v>421</v>
      </c>
      <c r="D21" s="25"/>
      <c r="E21" s="25">
        <v>0</v>
      </c>
      <c r="F21" s="23">
        <f>SUMIF('Sổ Nhật ký chung'!$C$6:$C$65,'Bang can doi so phat sinh'!C21,'Sổ Nhật ký chung'!$D$6:$D$65)</f>
        <v>0</v>
      </c>
      <c r="G21" s="23">
        <f>SUMIF('Sổ Nhật ký chung'!$C$6:$C$65,'Bang can doi so phat sinh'!C21,'Sổ Nhật ký chung'!$E$6:$E$65)</f>
        <v>238344230.76923078</v>
      </c>
      <c r="H21" s="22"/>
      <c r="I21" s="24">
        <f t="shared" si="2"/>
        <v>238344230.76923078</v>
      </c>
    </row>
    <row r="22" spans="1:9" x14ac:dyDescent="0.25">
      <c r="A22" s="20">
        <v>16</v>
      </c>
      <c r="B22" s="35" t="s">
        <v>165</v>
      </c>
      <c r="C22" s="35">
        <v>511</v>
      </c>
      <c r="D22" s="25">
        <v>0</v>
      </c>
      <c r="E22" s="25">
        <v>0</v>
      </c>
      <c r="F22" s="23">
        <f>SUMIF('Sổ Nhật ký chung'!$C$6:$C$65,'Bang can doi so phat sinh'!C22,'Sổ Nhật ký chung'!$D$6:$D$65)</f>
        <v>708000000</v>
      </c>
      <c r="G22" s="23">
        <f>SUMIF('Sổ Nhật ký chung'!$C$6:$C$65,'Bang can doi so phat sinh'!C22,'Sổ Nhật ký chung'!$E$6:$E$65)</f>
        <v>708000000</v>
      </c>
      <c r="H22" s="22">
        <v>0</v>
      </c>
      <c r="I22" s="24">
        <f t="shared" si="2"/>
        <v>0</v>
      </c>
    </row>
    <row r="23" spans="1:9" x14ac:dyDescent="0.25">
      <c r="A23" s="20">
        <v>17</v>
      </c>
      <c r="B23" s="35" t="s">
        <v>166</v>
      </c>
      <c r="C23" s="35">
        <v>632</v>
      </c>
      <c r="D23" s="25">
        <v>0</v>
      </c>
      <c r="E23" s="25">
        <v>0</v>
      </c>
      <c r="F23" s="23">
        <f>SUMIF('Sổ Nhật ký chung'!$C$6:$C$65,'Bang can doi so phat sinh'!C23,'Sổ Nhật ký chung'!$D$6:$D$65)</f>
        <v>365230769.23076922</v>
      </c>
      <c r="G23" s="23">
        <f>SUMIF('Sổ Nhật ký chung'!$C$6:$C$65,'Bang can doi so phat sinh'!C23,'Sổ Nhật ký chung'!$E$6:$E$65)</f>
        <v>365230769.23076922</v>
      </c>
      <c r="H23" s="25">
        <f>D23+F23-G23</f>
        <v>0</v>
      </c>
      <c r="I23" s="25">
        <f t="shared" si="2"/>
        <v>0</v>
      </c>
    </row>
    <row r="24" spans="1:9" x14ac:dyDescent="0.25">
      <c r="A24" s="20">
        <v>18</v>
      </c>
      <c r="B24" s="35" t="s">
        <v>167</v>
      </c>
      <c r="C24" s="35">
        <v>635</v>
      </c>
      <c r="D24" s="25">
        <v>0</v>
      </c>
      <c r="E24" s="25">
        <v>0</v>
      </c>
      <c r="F24" s="23">
        <f>SUMIF('Sổ Nhật ký chung'!$C$6:$C$65,'Bang can doi so phat sinh'!C24,'Sổ Nhật ký chung'!$D$6:$D$65)</f>
        <v>10000000</v>
      </c>
      <c r="G24" s="23">
        <f>SUMIF('Sổ Nhật ký chung'!$C$6:$C$65,'Bang can doi so phat sinh'!C24,'Sổ Nhật ký chung'!$E$6:$E$65)</f>
        <v>10000000</v>
      </c>
      <c r="H24" s="25">
        <f t="shared" ref="H24:H27" si="3">D24+F24-G24</f>
        <v>0</v>
      </c>
      <c r="I24" s="25">
        <f t="shared" si="2"/>
        <v>0</v>
      </c>
    </row>
    <row r="25" spans="1:9" x14ac:dyDescent="0.25">
      <c r="A25" s="20">
        <v>19</v>
      </c>
      <c r="B25" s="35" t="s">
        <v>168</v>
      </c>
      <c r="C25" s="35">
        <v>641</v>
      </c>
      <c r="D25" s="25">
        <v>0</v>
      </c>
      <c r="E25" s="25">
        <v>0</v>
      </c>
      <c r="F25" s="23">
        <f>SUMIF('Sổ Nhật ký chung'!$C$6:$C$65,'Bang can doi so phat sinh'!C25,'Sổ Nhật ký chung'!$D$6:$D$65)</f>
        <v>60000000</v>
      </c>
      <c r="G25" s="23">
        <f>SUMIF('Sổ Nhật ký chung'!$C$6:$C$65,'Bang can doi so phat sinh'!C25,'Sổ Nhật ký chung'!$E$6:$E$65)</f>
        <v>60000000</v>
      </c>
      <c r="H25" s="25">
        <f t="shared" si="3"/>
        <v>0</v>
      </c>
      <c r="I25" s="25">
        <f t="shared" si="2"/>
        <v>0</v>
      </c>
    </row>
    <row r="26" spans="1:9" x14ac:dyDescent="0.25">
      <c r="A26" s="20">
        <v>20</v>
      </c>
      <c r="B26" s="35" t="s">
        <v>169</v>
      </c>
      <c r="C26" s="35">
        <v>642</v>
      </c>
      <c r="D26" s="25">
        <v>0</v>
      </c>
      <c r="E26" s="25">
        <v>0</v>
      </c>
      <c r="F26" s="23">
        <f>SUMIF('Sổ Nhật ký chung'!$C$6:$C$65,'Bang can doi so phat sinh'!C26,'Sổ Nhật ký chung'!$D$6:$D$65)</f>
        <v>34425000</v>
      </c>
      <c r="G26" s="23">
        <f>SUMIF('Sổ Nhật ký chung'!$C$6:$C$65,'Bang can doi so phat sinh'!C26,'Sổ Nhật ký chung'!$E$6:$E$65)</f>
        <v>34425000</v>
      </c>
      <c r="H26" s="25">
        <f t="shared" si="3"/>
        <v>0</v>
      </c>
      <c r="I26" s="25">
        <f t="shared" si="2"/>
        <v>0</v>
      </c>
    </row>
    <row r="27" spans="1:9" x14ac:dyDescent="0.25">
      <c r="A27" s="20">
        <v>21</v>
      </c>
      <c r="B27" s="35" t="s">
        <v>170</v>
      </c>
      <c r="C27" s="35">
        <v>911</v>
      </c>
      <c r="D27" s="25">
        <v>0</v>
      </c>
      <c r="E27" s="25">
        <v>0</v>
      </c>
      <c r="F27" s="23">
        <f>SUMIF('Sổ Nhật ký chung'!$C$6:$C$65,'Bang can doi so phat sinh'!C27,'Sổ Nhật ký chung'!$D$6:$D$65)</f>
        <v>708000000</v>
      </c>
      <c r="G27" s="23">
        <f>SUMIF('Sổ Nhật ký chung'!$C$6:$C$65,'Bang can doi so phat sinh'!C27,'Sổ Nhật ký chung'!$E$6:$E$65)</f>
        <v>708000000</v>
      </c>
      <c r="H27" s="25">
        <f t="shared" si="3"/>
        <v>0</v>
      </c>
      <c r="I27" s="25">
        <f t="shared" si="2"/>
        <v>0</v>
      </c>
    </row>
    <row r="28" spans="1:9" x14ac:dyDescent="0.25">
      <c r="A28" s="20"/>
      <c r="B28" s="35"/>
      <c r="C28" s="21"/>
      <c r="D28" s="25"/>
      <c r="E28" s="25"/>
      <c r="F28" s="23"/>
      <c r="G28" s="23"/>
      <c r="H28" s="25"/>
      <c r="I28" s="25"/>
    </row>
    <row r="29" spans="1:9" s="30" customFormat="1" x14ac:dyDescent="0.25">
      <c r="A29" s="26"/>
      <c r="B29" s="27" t="s">
        <v>28</v>
      </c>
      <c r="C29" s="33"/>
      <c r="D29" s="28"/>
      <c r="E29" s="28"/>
      <c r="F29" s="29">
        <f>SUM(F5:F28)</f>
        <v>10675455769.23077</v>
      </c>
      <c r="G29" s="29">
        <f t="shared" ref="G29:I29" si="4">SUM(G5:G28)</f>
        <v>10675455769.23077</v>
      </c>
      <c r="H29" s="29">
        <f t="shared" si="4"/>
        <v>7601569230.7692308</v>
      </c>
      <c r="I29" s="29">
        <f t="shared" si="4"/>
        <v>7601569230.7692308</v>
      </c>
    </row>
    <row r="30" spans="1:9" x14ac:dyDescent="0.25">
      <c r="C30" s="13"/>
    </row>
    <row r="31" spans="1:9" x14ac:dyDescent="0.25">
      <c r="C31" s="13"/>
    </row>
    <row r="32" spans="1:9" x14ac:dyDescent="0.25">
      <c r="C32" s="13"/>
    </row>
    <row r="33" spans="3:3" x14ac:dyDescent="0.25">
      <c r="C33" s="13"/>
    </row>
    <row r="34" spans="3:3" x14ac:dyDescent="0.25">
      <c r="C34" s="13"/>
    </row>
    <row r="35" spans="3:3" x14ac:dyDescent="0.25">
      <c r="C35" s="13"/>
    </row>
    <row r="36" spans="3:3" x14ac:dyDescent="0.25">
      <c r="C36" s="13"/>
    </row>
    <row r="37" spans="3:3" x14ac:dyDescent="0.25">
      <c r="C37" s="13"/>
    </row>
  </sheetData>
  <mergeCells count="10">
    <mergeCell ref="A5:A6"/>
    <mergeCell ref="C1:I1"/>
    <mergeCell ref="C2:I2"/>
    <mergeCell ref="C3:I3"/>
    <mergeCell ref="C4:I4"/>
    <mergeCell ref="B5:B6"/>
    <mergeCell ref="D5:E5"/>
    <mergeCell ref="F5:G5"/>
    <mergeCell ref="H5:I5"/>
    <mergeCell ref="C5:C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topLeftCell="A20" zoomScale="160" zoomScaleNormal="160" workbookViewId="0">
      <selection activeCell="D38" sqref="D38"/>
    </sheetView>
  </sheetViews>
  <sheetFormatPr defaultColWidth="8.85546875" defaultRowHeight="15.75" x14ac:dyDescent="0.25"/>
  <cols>
    <col min="1" max="1" width="31.140625" style="1" customWidth="1"/>
    <col min="2" max="2" width="22.85546875" style="1" customWidth="1"/>
    <col min="3" max="3" width="29.85546875" style="1" customWidth="1"/>
    <col min="4" max="4" width="18" style="1" customWidth="1"/>
    <col min="5" max="16384" width="8.85546875" style="1"/>
  </cols>
  <sheetData>
    <row r="1" spans="1:5" x14ac:dyDescent="0.25">
      <c r="A1" s="64" t="s">
        <v>162</v>
      </c>
      <c r="B1" s="64"/>
      <c r="C1" s="64"/>
      <c r="D1" s="64"/>
      <c r="E1" s="64"/>
    </row>
    <row r="2" spans="1:5" x14ac:dyDescent="0.25">
      <c r="A2" s="64" t="s">
        <v>30</v>
      </c>
      <c r="B2" s="64"/>
      <c r="C2" s="64"/>
      <c r="D2" s="64"/>
      <c r="E2" s="64"/>
    </row>
    <row r="3" spans="1:5" x14ac:dyDescent="0.25">
      <c r="A3" s="65" t="s">
        <v>163</v>
      </c>
      <c r="B3" s="65"/>
      <c r="C3" s="65"/>
      <c r="D3" s="65"/>
      <c r="E3" s="65"/>
    </row>
    <row r="4" spans="1:5" x14ac:dyDescent="0.25">
      <c r="A4" s="3"/>
      <c r="B4" s="3"/>
      <c r="C4" s="41" t="s">
        <v>164</v>
      </c>
      <c r="D4" s="3"/>
      <c r="E4" s="3"/>
    </row>
    <row r="5" spans="1:5" x14ac:dyDescent="0.25">
      <c r="A5" s="64" t="s">
        <v>31</v>
      </c>
      <c r="B5" s="64"/>
      <c r="C5" s="64" t="s">
        <v>50</v>
      </c>
      <c r="D5" s="64"/>
    </row>
    <row r="6" spans="1:5" x14ac:dyDescent="0.25">
      <c r="A6" s="34" t="s">
        <v>32</v>
      </c>
      <c r="B6" s="38" t="e">
        <f>SUM(B7:B12)</f>
        <v>#N/A</v>
      </c>
      <c r="C6" s="40" t="s">
        <v>51</v>
      </c>
      <c r="D6" s="38">
        <f>SUM(D7:D12)</f>
        <v>2362800000</v>
      </c>
    </row>
    <row r="7" spans="1:5" x14ac:dyDescent="0.25">
      <c r="A7" s="35" t="s">
        <v>33</v>
      </c>
      <c r="B7" s="39">
        <f>VLOOKUP(A7,'Bang can doi so phat sinh'!$B$7:$I$28,7,FALSE)</f>
        <v>300000000</v>
      </c>
      <c r="C7" s="37" t="s">
        <v>41</v>
      </c>
      <c r="D7" s="39">
        <f>VLOOKUP(C7,'Bang can doi so phat sinh'!$B$7:$I$28,8,FALSE)</f>
        <v>264000000</v>
      </c>
    </row>
    <row r="8" spans="1:5" x14ac:dyDescent="0.25">
      <c r="A8" s="35" t="s">
        <v>35</v>
      </c>
      <c r="B8" s="39">
        <f>VLOOKUP(A8,'Bang can doi so phat sinh'!$B$7:$I$28,7,FALSE)</f>
        <v>6768000000</v>
      </c>
      <c r="C8" s="37" t="s">
        <v>42</v>
      </c>
      <c r="D8" s="39">
        <f>VLOOKUP(C8,'Bang can doi so phat sinh'!$B$7:$I$28,8,FALSE)</f>
        <v>14800000</v>
      </c>
    </row>
    <row r="9" spans="1:5" x14ac:dyDescent="0.25">
      <c r="A9" s="35" t="s">
        <v>36</v>
      </c>
      <c r="B9" s="39">
        <f>VLOOKUP(A9,'Bang can doi so phat sinh'!$B$7:$I$28,7,FALSE)</f>
        <v>316800000</v>
      </c>
      <c r="C9" s="37" t="s">
        <v>43</v>
      </c>
      <c r="D9" s="39">
        <f>VLOOKUP(C9,'Bang can doi so phat sinh'!$B$7:$I$28,8,FALSE)</f>
        <v>63000000</v>
      </c>
    </row>
    <row r="10" spans="1:5" x14ac:dyDescent="0.25">
      <c r="A10" s="35" t="s">
        <v>37</v>
      </c>
      <c r="B10" s="39">
        <f>VLOOKUP(A10,'Bang can doi so phat sinh'!$B$7:$I$28,7,FALSE)</f>
        <v>0</v>
      </c>
      <c r="C10" s="37"/>
      <c r="D10" s="39"/>
    </row>
    <row r="11" spans="1:5" x14ac:dyDescent="0.25">
      <c r="A11" s="35" t="s">
        <v>38</v>
      </c>
      <c r="B11" s="39">
        <f>VLOOKUP(A11,'Bang can doi so phat sinh'!$B$7:$I$28,7,FALSE)</f>
        <v>94769230.769230783</v>
      </c>
      <c r="C11" s="37" t="s">
        <v>44</v>
      </c>
      <c r="D11" s="39">
        <f>VLOOKUP(C11,'Bang can doi so phat sinh'!$B$7:$I$28,8,FALSE)</f>
        <v>21000000</v>
      </c>
    </row>
    <row r="12" spans="1:5" x14ac:dyDescent="0.25">
      <c r="A12" s="35" t="s">
        <v>40</v>
      </c>
      <c r="B12" s="39" t="e">
        <f>VLOOKUP(A12,'Bang can doi so phat sinh'!$B$7:$I$28,7,FALSE)</f>
        <v>#N/A</v>
      </c>
      <c r="C12" s="37" t="s">
        <v>45</v>
      </c>
      <c r="D12" s="39">
        <f>VLOOKUP(C12,'Bang can doi so phat sinh'!$B$7:$I$28,8,FALSE)</f>
        <v>2000000000</v>
      </c>
    </row>
    <row r="13" spans="1:5" x14ac:dyDescent="0.25">
      <c r="A13" s="34" t="s">
        <v>48</v>
      </c>
      <c r="B13" s="38">
        <f>SUM(B14:B15)</f>
        <v>101575000</v>
      </c>
      <c r="C13" s="40" t="s">
        <v>52</v>
      </c>
      <c r="D13" s="38">
        <f>D14+D15</f>
        <v>5238344230.7692308</v>
      </c>
    </row>
    <row r="14" spans="1:5" x14ac:dyDescent="0.25">
      <c r="A14" s="35" t="s">
        <v>90</v>
      </c>
      <c r="B14" s="39">
        <f>VLOOKUP(A14,'Bang can doi so phat sinh'!$B$7:$I$28,7,FALSE)</f>
        <v>102000000</v>
      </c>
      <c r="C14" s="37" t="s">
        <v>46</v>
      </c>
      <c r="D14" s="39">
        <f>VLOOKUP(C14,'Bang can doi so phat sinh'!$B$7:$I$28,8,FALSE)</f>
        <v>5000000000</v>
      </c>
    </row>
    <row r="15" spans="1:5" x14ac:dyDescent="0.25">
      <c r="A15" s="35" t="s">
        <v>39</v>
      </c>
      <c r="B15" s="39">
        <f>-VLOOKUP(A15,'Bang can doi so phat sinh'!$B$7:$I$28,8,FALSE)</f>
        <v>-425000</v>
      </c>
      <c r="C15" s="37" t="s">
        <v>47</v>
      </c>
      <c r="D15" s="39">
        <f>VLOOKUP(C15,'Bang can doi so phat sinh'!$B$7:$I$28,8,FALSE)</f>
        <v>238344230.76923078</v>
      </c>
    </row>
    <row r="16" spans="1:5" x14ac:dyDescent="0.25">
      <c r="A16" s="34" t="s">
        <v>49</v>
      </c>
      <c r="B16" s="38" t="e">
        <f>B6+B13</f>
        <v>#N/A</v>
      </c>
      <c r="C16" s="40" t="s">
        <v>53</v>
      </c>
      <c r="D16" s="38">
        <f>D6+D13</f>
        <v>7601144230.7692308</v>
      </c>
    </row>
    <row r="21" spans="1:5" x14ac:dyDescent="0.25">
      <c r="A21" s="64" t="s">
        <v>162</v>
      </c>
      <c r="B21" s="64"/>
      <c r="C21" s="64"/>
      <c r="D21" s="64"/>
      <c r="E21" s="64"/>
    </row>
    <row r="22" spans="1:5" x14ac:dyDescent="0.25">
      <c r="A22" s="64" t="s">
        <v>54</v>
      </c>
      <c r="B22" s="64"/>
      <c r="C22" s="64"/>
      <c r="D22" s="64"/>
      <c r="E22" s="64"/>
    </row>
    <row r="23" spans="1:5" x14ac:dyDescent="0.25">
      <c r="A23" s="65" t="s">
        <v>118</v>
      </c>
      <c r="B23" s="65"/>
      <c r="C23" s="65"/>
      <c r="D23" s="65"/>
      <c r="E23" s="65"/>
    </row>
    <row r="24" spans="1:5" x14ac:dyDescent="0.25">
      <c r="C24" s="41" t="s">
        <v>21</v>
      </c>
    </row>
    <row r="25" spans="1:5" x14ac:dyDescent="0.25">
      <c r="A25" s="71" t="s">
        <v>55</v>
      </c>
      <c r="B25" s="71"/>
      <c r="C25" s="25">
        <f>'Bang can doi so phat sinh'!G22</f>
        <v>708000000</v>
      </c>
    </row>
    <row r="26" spans="1:5" x14ac:dyDescent="0.25">
      <c r="A26" s="71" t="s">
        <v>56</v>
      </c>
      <c r="B26" s="71"/>
      <c r="C26" s="25">
        <v>0</v>
      </c>
    </row>
    <row r="27" spans="1:5" x14ac:dyDescent="0.25">
      <c r="A27" s="71" t="s">
        <v>57</v>
      </c>
      <c r="B27" s="71"/>
      <c r="C27" s="25">
        <f>C25-C26</f>
        <v>708000000</v>
      </c>
    </row>
    <row r="28" spans="1:5" x14ac:dyDescent="0.25">
      <c r="A28" s="71" t="s">
        <v>58</v>
      </c>
      <c r="B28" s="71"/>
      <c r="C28" s="25">
        <f>'Bang can doi so phat sinh'!F23</f>
        <v>365230769.23076922</v>
      </c>
    </row>
    <row r="29" spans="1:5" x14ac:dyDescent="0.25">
      <c r="A29" s="71" t="s">
        <v>59</v>
      </c>
      <c r="B29" s="71"/>
      <c r="C29" s="25">
        <f>C27-C28</f>
        <v>342769230.76923078</v>
      </c>
    </row>
    <row r="30" spans="1:5" x14ac:dyDescent="0.25">
      <c r="A30" s="71" t="s">
        <v>60</v>
      </c>
      <c r="B30" s="71"/>
      <c r="C30" s="25">
        <v>0</v>
      </c>
    </row>
    <row r="31" spans="1:5" x14ac:dyDescent="0.25">
      <c r="A31" s="71" t="s">
        <v>61</v>
      </c>
      <c r="B31" s="71"/>
      <c r="C31" s="25">
        <f>'Bang can doi so phat sinh'!F24</f>
        <v>10000000</v>
      </c>
    </row>
    <row r="32" spans="1:5" x14ac:dyDescent="0.25">
      <c r="A32" s="71" t="s">
        <v>62</v>
      </c>
      <c r="B32" s="71"/>
      <c r="C32" s="25">
        <f>'Bang can doi so phat sinh'!F25</f>
        <v>60000000</v>
      </c>
    </row>
    <row r="33" spans="1:5" x14ac:dyDescent="0.25">
      <c r="A33" s="71" t="s">
        <v>63</v>
      </c>
      <c r="B33" s="71"/>
      <c r="C33" s="25">
        <f>'Bang can doi so phat sinh'!F26</f>
        <v>34425000</v>
      </c>
    </row>
    <row r="34" spans="1:5" x14ac:dyDescent="0.25">
      <c r="A34" s="71" t="s">
        <v>64</v>
      </c>
      <c r="B34" s="71"/>
      <c r="C34" s="25">
        <f>C29+C30-C31-C32-C33</f>
        <v>238344230.76923078</v>
      </c>
    </row>
    <row r="35" spans="1:5" x14ac:dyDescent="0.25">
      <c r="A35" s="71" t="s">
        <v>65</v>
      </c>
      <c r="B35" s="71"/>
      <c r="C35" s="25">
        <v>0</v>
      </c>
    </row>
    <row r="36" spans="1:5" x14ac:dyDescent="0.25">
      <c r="A36" s="71" t="s">
        <v>66</v>
      </c>
      <c r="B36" s="71"/>
      <c r="C36" s="25">
        <v>0</v>
      </c>
    </row>
    <row r="37" spans="1:5" x14ac:dyDescent="0.25">
      <c r="A37" s="71" t="s">
        <v>67</v>
      </c>
      <c r="B37" s="71"/>
      <c r="C37" s="25">
        <f>C34+C35-C36</f>
        <v>238344230.76923078</v>
      </c>
    </row>
    <row r="38" spans="1:5" x14ac:dyDescent="0.25">
      <c r="A38" s="71" t="s">
        <v>68</v>
      </c>
      <c r="B38" s="71"/>
      <c r="C38" s="25">
        <v>0</v>
      </c>
    </row>
    <row r="39" spans="1:5" x14ac:dyDescent="0.25">
      <c r="A39" s="71" t="s">
        <v>69</v>
      </c>
      <c r="B39" s="71"/>
      <c r="C39" s="25">
        <f>C37-C38</f>
        <v>238344230.76923078</v>
      </c>
    </row>
    <row r="44" spans="1:5" x14ac:dyDescent="0.25">
      <c r="A44" s="64" t="s">
        <v>16</v>
      </c>
      <c r="B44" s="64"/>
      <c r="C44" s="64"/>
      <c r="D44" s="64"/>
      <c r="E44" s="64"/>
    </row>
    <row r="45" spans="1:5" ht="31.35" customHeight="1" x14ac:dyDescent="0.25">
      <c r="A45" s="73" t="s">
        <v>71</v>
      </c>
      <c r="B45" s="64"/>
      <c r="C45" s="64"/>
      <c r="D45" s="64"/>
      <c r="E45" s="64"/>
    </row>
    <row r="46" spans="1:5" x14ac:dyDescent="0.25">
      <c r="A46" s="65" t="s">
        <v>5</v>
      </c>
      <c r="B46" s="65"/>
      <c r="C46" s="65"/>
      <c r="D46" s="65"/>
      <c r="E46" s="65"/>
    </row>
    <row r="47" spans="1:5" x14ac:dyDescent="0.25">
      <c r="C47" s="41" t="s">
        <v>21</v>
      </c>
    </row>
    <row r="48" spans="1:5" s="30" customFormat="1" ht="15" customHeight="1" x14ac:dyDescent="0.25">
      <c r="A48" s="72" t="s">
        <v>70</v>
      </c>
      <c r="B48" s="72"/>
      <c r="C48" s="38"/>
    </row>
    <row r="49" spans="1:3" x14ac:dyDescent="0.25">
      <c r="A49" s="74" t="s">
        <v>75</v>
      </c>
      <c r="B49" s="74"/>
      <c r="C49" s="43"/>
    </row>
    <row r="50" spans="1:3" x14ac:dyDescent="0.25">
      <c r="A50" s="74" t="s">
        <v>76</v>
      </c>
      <c r="B50" s="74"/>
      <c r="C50" s="43">
        <f>-'Sổ Nhật ký chung'!E20</f>
        <v>-30000000</v>
      </c>
    </row>
    <row r="51" spans="1:3" x14ac:dyDescent="0.25">
      <c r="A51" s="74" t="s">
        <v>77</v>
      </c>
      <c r="B51" s="74"/>
      <c r="C51" s="43">
        <f>'Sổ Nhật ký chung'!D29+'Sổ Nhật ký chung'!D37</f>
        <v>448800000</v>
      </c>
    </row>
    <row r="52" spans="1:3" x14ac:dyDescent="0.25">
      <c r="A52" s="75" t="s">
        <v>73</v>
      </c>
      <c r="B52" s="75"/>
      <c r="C52" s="44">
        <f>SUM(C49:C51)</f>
        <v>418800000</v>
      </c>
    </row>
    <row r="53" spans="1:3" s="30" customFormat="1" x14ac:dyDescent="0.25">
      <c r="A53" s="72" t="s">
        <v>74</v>
      </c>
      <c r="B53" s="72"/>
      <c r="C53" s="38"/>
    </row>
    <row r="54" spans="1:3" s="42" customFormat="1" x14ac:dyDescent="0.25">
      <c r="A54" s="74" t="s">
        <v>72</v>
      </c>
      <c r="B54" s="74"/>
      <c r="C54" s="43"/>
    </row>
    <row r="55" spans="1:3" x14ac:dyDescent="0.25">
      <c r="A55" s="75" t="s">
        <v>78</v>
      </c>
      <c r="B55" s="75"/>
      <c r="C55" s="44">
        <f>C54</f>
        <v>0</v>
      </c>
    </row>
    <row r="56" spans="1:3" s="30" customFormat="1" x14ac:dyDescent="0.25">
      <c r="A56" s="72" t="s">
        <v>81</v>
      </c>
      <c r="B56" s="72"/>
      <c r="C56" s="38"/>
    </row>
    <row r="57" spans="1:3" s="42" customFormat="1" x14ac:dyDescent="0.25">
      <c r="A57" s="74" t="s">
        <v>79</v>
      </c>
      <c r="B57" s="74"/>
      <c r="C57" s="43">
        <f>'Sổ Nhật ký chung'!D6</f>
        <v>5000000000</v>
      </c>
    </row>
    <row r="58" spans="1:3" s="42" customFormat="1" x14ac:dyDescent="0.25">
      <c r="A58" s="74" t="s">
        <v>80</v>
      </c>
      <c r="B58" s="74"/>
      <c r="C58" s="43">
        <f>'Sổ Nhật ký chung'!D8</f>
        <v>2000000000</v>
      </c>
    </row>
    <row r="59" spans="1:3" x14ac:dyDescent="0.25">
      <c r="A59" s="75" t="s">
        <v>82</v>
      </c>
      <c r="B59" s="75"/>
      <c r="C59" s="44">
        <f>C58+C57</f>
        <v>7000000000</v>
      </c>
    </row>
    <row r="60" spans="1:3" s="30" customFormat="1" x14ac:dyDescent="0.25">
      <c r="A60" s="72" t="s">
        <v>83</v>
      </c>
      <c r="B60" s="72"/>
      <c r="C60" s="38">
        <f>C52+C55+C59</f>
        <v>7418800000</v>
      </c>
    </row>
    <row r="61" spans="1:3" s="30" customFormat="1" x14ac:dyDescent="0.25">
      <c r="A61" s="72" t="s">
        <v>84</v>
      </c>
      <c r="B61" s="72"/>
      <c r="C61" s="38">
        <v>0</v>
      </c>
    </row>
    <row r="62" spans="1:3" s="30" customFormat="1" x14ac:dyDescent="0.25">
      <c r="A62" s="72" t="s">
        <v>85</v>
      </c>
      <c r="B62" s="72"/>
      <c r="C62" s="38">
        <f>C60+C61</f>
        <v>7418800000</v>
      </c>
    </row>
  </sheetData>
  <mergeCells count="41">
    <mergeCell ref="A57:B57"/>
    <mergeCell ref="A58:B58"/>
    <mergeCell ref="A59:B59"/>
    <mergeCell ref="A60:B60"/>
    <mergeCell ref="A62:B62"/>
    <mergeCell ref="A61:B61"/>
    <mergeCell ref="A56:B56"/>
    <mergeCell ref="A45:E45"/>
    <mergeCell ref="A46:E46"/>
    <mergeCell ref="A48:B48"/>
    <mergeCell ref="A49:B49"/>
    <mergeCell ref="A50:B50"/>
    <mergeCell ref="A51:B51"/>
    <mergeCell ref="A52:B52"/>
    <mergeCell ref="A53:B53"/>
    <mergeCell ref="A54:B54"/>
    <mergeCell ref="A55:B55"/>
    <mergeCell ref="A44:E44"/>
    <mergeCell ref="A29:B29"/>
    <mergeCell ref="A30:B30"/>
    <mergeCell ref="A31:B31"/>
    <mergeCell ref="A32:B32"/>
    <mergeCell ref="A33:B33"/>
    <mergeCell ref="A34:B34"/>
    <mergeCell ref="A35:B35"/>
    <mergeCell ref="A36:B36"/>
    <mergeCell ref="A37:B37"/>
    <mergeCell ref="A38:B38"/>
    <mergeCell ref="A39:B39"/>
    <mergeCell ref="A28:B28"/>
    <mergeCell ref="A1:E1"/>
    <mergeCell ref="A2:E2"/>
    <mergeCell ref="A3:E3"/>
    <mergeCell ref="C5:D5"/>
    <mergeCell ref="A5:B5"/>
    <mergeCell ref="A21:E21"/>
    <mergeCell ref="A22:E22"/>
    <mergeCell ref="A23:E23"/>
    <mergeCell ref="A25:B25"/>
    <mergeCell ref="A26:B26"/>
    <mergeCell ref="A27:B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Thông tin doanh nghiệp</vt:lpstr>
      <vt:lpstr>Kịch bản</vt:lpstr>
      <vt:lpstr>Mẫu hóa đơn_Giấy báo có</vt:lpstr>
      <vt:lpstr>Mẫu các phân hệ kế toán</vt:lpstr>
      <vt:lpstr>Sổ Nhật ký chung</vt:lpstr>
      <vt:lpstr>Bang can doi so phat sinh</vt:lpstr>
      <vt:lpstr>Bao cao tai chinh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cp:lastModifiedBy>
  <dcterms:created xsi:type="dcterms:W3CDTF">2019-11-19T08:01:08Z</dcterms:created>
  <dcterms:modified xsi:type="dcterms:W3CDTF">2026-07-11T13:05:44Z</dcterms:modified>
</cp:coreProperties>
</file>